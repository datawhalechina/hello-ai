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3"/>
  </bookViews>
  <sheets>
    <sheet name="清洗后的数据" sheetId="1" r:id="rId1"/>
    <sheet name="数据清洗说明" sheetId="2" r:id="rId2"/>
    <sheet name="清洗汇总" sheetId="3" r:id="rId3"/>
    <sheet name="年级_AI使用频率" sheetId="4" r:id="rId4"/>
    <sheet name="专业_AI使用频率" sheetId="5" r:id="rId5"/>
  </sheets>
  <definedNames>
    <definedName name="_xlnm._FilterDatabase" localSheetId="0" hidden="1">清洗后的数据!$A$1:$Q$109</definedName>
    <definedName name="_xlnm._FilterDatabase" localSheetId="1" hidden="1">数据清洗说明!$A$1:$F$10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<sst xmlns="http://schemas.openxmlformats.org/spreadsheetml/2006/main" count="1402" uniqueCount="308">
  <si>
    <t>受访者ID</t>
  </si>
  <si>
    <t>年级</t>
  </si>
  <si>
    <t>专业类别</t>
  </si>
  <si>
    <t>性别</t>
  </si>
  <si>
    <t>AI使用频率</t>
  </si>
  <si>
    <t>每周AI使用时长（小时）</t>
  </si>
  <si>
    <t>常用AI工具（多选）</t>
  </si>
  <si>
    <t>最常使用场景</t>
  </si>
  <si>
    <t>AI提升学习效率评分（1-5）</t>
  </si>
  <si>
    <t>AI回答准确性评分（1-5）</t>
  </si>
  <si>
    <t>担心形成依赖程度（1-5）</t>
  </si>
  <si>
    <t>未来继续使用意愿（1-5）</t>
  </si>
  <si>
    <t>当前最大痛点</t>
  </si>
  <si>
    <t>最希望增加的功能</t>
  </si>
  <si>
    <t>愿意为AI学习服务付费</t>
  </si>
  <si>
    <t>开放建议</t>
  </si>
  <si>
    <t>数据质量标记</t>
  </si>
  <si>
    <t>R001</t>
  </si>
  <si>
    <t>大三</t>
  </si>
  <si>
    <t>人文社科类</t>
  </si>
  <si>
    <t>女</t>
  </si>
  <si>
    <t>几乎每天</t>
  </si>
  <si>
    <t>豆包；Claude；Gemini</t>
  </si>
  <si>
    <t>写作/润色</t>
  </si>
  <si>
    <t>工具太多，不知道怎么选</t>
  </si>
  <si>
    <t>写作与润色助手</t>
  </si>
  <si>
    <t>6-10元/月</t>
  </si>
  <si>
    <t>如果能把不同AI工具整合到一个入口会方便很多。</t>
  </si>
  <si>
    <t/>
  </si>
  <si>
    <t>R002</t>
  </si>
  <si>
    <t>大二</t>
  </si>
  <si>
    <t>男</t>
  </si>
  <si>
    <t>每周3-5次</t>
  </si>
  <si>
    <t>DeepSeek；Kimi</t>
  </si>
  <si>
    <t>编程/调试</t>
  </si>
  <si>
    <t>不愿付费</t>
  </si>
  <si>
    <t>R003</t>
  </si>
  <si>
    <t>大四</t>
  </si>
  <si>
    <t>理工类</t>
  </si>
  <si>
    <t>每周1-2次</t>
  </si>
  <si>
    <t>Gemini；DeepSeek</t>
  </si>
  <si>
    <t>资料检索</t>
  </si>
  <si>
    <t>容易产生依赖</t>
  </si>
  <si>
    <t>AI工具选择推荐</t>
  </si>
  <si>
    <t>主要担心AI一本正经地给出错误答案。</t>
  </si>
  <si>
    <t>R004</t>
  </si>
  <si>
    <t>DeepSeek；Gemini；通义千问</t>
  </si>
  <si>
    <t>代码学习与调试</t>
  </si>
  <si>
    <t>5元/月以内</t>
  </si>
  <si>
    <t>学校课程如果能教怎么正确使用AI会更好。</t>
  </si>
  <si>
    <t>R005</t>
  </si>
  <si>
    <t>大一</t>
  </si>
  <si>
    <t>医学类</t>
  </si>
  <si>
    <t>Gemini；Claude</t>
  </si>
  <si>
    <t>头脑风暴/方案生成</t>
  </si>
  <si>
    <t>提示词模板与指导</t>
  </si>
  <si>
    <t>R006</t>
  </si>
  <si>
    <t>艺术设计类</t>
  </si>
  <si>
    <t>Claude；DeepSeek；文心一言</t>
  </si>
  <si>
    <t>内容同质化/缺少个性</t>
  </si>
  <si>
    <t>R007</t>
  </si>
  <si>
    <t>Kimi；Claude</t>
  </si>
  <si>
    <t>不知道怎么提问</t>
  </si>
  <si>
    <t>课程资料智能问答</t>
  </si>
  <si>
    <t>R008</t>
  </si>
  <si>
    <t>豆包；DeepSeek</t>
  </si>
  <si>
    <t>回答不够准确</t>
  </si>
  <si>
    <t>希望回答时能直接给出处和原文链接。</t>
  </si>
  <si>
    <t>R009</t>
  </si>
  <si>
    <t>不愿透露</t>
  </si>
  <si>
    <t>Kimi；豆包</t>
  </si>
  <si>
    <t>R010</t>
  </si>
  <si>
    <t>Claude；Gemini；通义千问；文心一言</t>
  </si>
  <si>
    <t>R011</t>
  </si>
  <si>
    <t>Kimi；通义千问</t>
  </si>
  <si>
    <t>R012</t>
  </si>
  <si>
    <t>Claude；豆包</t>
  </si>
  <si>
    <t>可靠来源/引用核验</t>
  </si>
  <si>
    <t>R013</t>
  </si>
  <si>
    <t>经管类</t>
  </si>
  <si>
    <t>20元/月以上</t>
  </si>
  <si>
    <t>如果能针对课程资料回答会更实用。</t>
  </si>
  <si>
    <t>R014</t>
  </si>
  <si>
    <t>通义千问；Gemini；Kimi</t>
  </si>
  <si>
    <t>隐私与数据安全担忧</t>
  </si>
  <si>
    <t>11-20元/月</t>
  </si>
  <si>
    <t>R015</t>
  </si>
  <si>
    <t>几乎不用</t>
  </si>
  <si>
    <t>Claude</t>
  </si>
  <si>
    <t>希望能根据我的错题和笔记做复习计划。</t>
  </si>
  <si>
    <t>R016</t>
  </si>
  <si>
    <t>ChatGPT；Gemini；豆包</t>
  </si>
  <si>
    <t>R017</t>
  </si>
  <si>
    <t>未固定使用</t>
  </si>
  <si>
    <t>作业答疑</t>
  </si>
  <si>
    <t>R018</t>
  </si>
  <si>
    <t>每月1-3次</t>
  </si>
  <si>
    <t>Gemini</t>
  </si>
  <si>
    <t>R019</t>
  </si>
  <si>
    <t>DeepSeek</t>
  </si>
  <si>
    <t>翻译</t>
  </si>
  <si>
    <t>R020</t>
  </si>
  <si>
    <t>DeepSeek；文心一言；ChatGPT</t>
  </si>
  <si>
    <t>R021</t>
  </si>
  <si>
    <t>通义千问；Claude；DeepSeek；Gemini</t>
  </si>
  <si>
    <t>R022</t>
  </si>
  <si>
    <t>R023</t>
  </si>
  <si>
    <t>ChatGPT；Claude；豆包</t>
  </si>
  <si>
    <t>R024</t>
  </si>
  <si>
    <t>ChatGPT；Gemini</t>
  </si>
  <si>
    <t>R025</t>
  </si>
  <si>
    <t>DeepSeek；通义千问</t>
  </si>
  <si>
    <t>R026</t>
  </si>
  <si>
    <t>DeepSeek；文心一言</t>
  </si>
  <si>
    <t>错题/知识点总结</t>
  </si>
  <si>
    <t>R027</t>
  </si>
  <si>
    <t>ChatGPT；文心一言；通义千问</t>
  </si>
  <si>
    <t>写作很方便，但不希望最后大家的内容都差不多。</t>
  </si>
  <si>
    <t>R028</t>
  </si>
  <si>
    <t>ChatGPT；通义千问；Gemini；Kimi</t>
  </si>
  <si>
    <t>R029</t>
  </si>
  <si>
    <t>R030</t>
  </si>
  <si>
    <t>R031</t>
  </si>
  <si>
    <t>通义千问；豆包</t>
  </si>
  <si>
    <t>R032</t>
  </si>
  <si>
    <t>Claude；DeepSeek</t>
  </si>
  <si>
    <t>R033</t>
  </si>
  <si>
    <t>ChatGPT</t>
  </si>
  <si>
    <t>R034</t>
  </si>
  <si>
    <t>豆包；文心一言</t>
  </si>
  <si>
    <t>有时候不知道怎么写提示词，结果质量差异很大。</t>
  </si>
  <si>
    <t>R035</t>
  </si>
  <si>
    <t>豆包；Claude</t>
  </si>
  <si>
    <t>R036</t>
  </si>
  <si>
    <t>通义千问；Kimi</t>
  </si>
  <si>
    <t>R037</t>
  </si>
  <si>
    <t>Kimi；Claude；豆包；Gemini</t>
  </si>
  <si>
    <t>R038</t>
  </si>
  <si>
    <t>R039</t>
  </si>
  <si>
    <t>Claude；Gemini；DeepSeek；ChatGPT</t>
  </si>
  <si>
    <t>R040</t>
  </si>
  <si>
    <t>R041</t>
  </si>
  <si>
    <t>Gemini；通义千问；豆包；Claude</t>
  </si>
  <si>
    <t>R042</t>
  </si>
  <si>
    <t>ChatGPT；文心一言；Kimi</t>
  </si>
  <si>
    <t>R043</t>
  </si>
  <si>
    <t>Gemini；ChatGPT</t>
  </si>
  <si>
    <t>R044</t>
  </si>
  <si>
    <t>文心一言；Gemini；ChatGPT</t>
  </si>
  <si>
    <t>R045</t>
  </si>
  <si>
    <t>DeepSeek；Claude</t>
  </si>
  <si>
    <t>R046</t>
  </si>
  <si>
    <t>DeepSeek；Gemini</t>
  </si>
  <si>
    <t>R047</t>
  </si>
  <si>
    <t>文心一言；DeepSeek；ChatGPT；豆包</t>
  </si>
  <si>
    <t>R048</t>
  </si>
  <si>
    <t>文心一言；Kimi；Claude</t>
  </si>
  <si>
    <t>R049</t>
  </si>
  <si>
    <t>通义千问；Claude；ChatGPT</t>
  </si>
  <si>
    <t>R050</t>
  </si>
  <si>
    <t>Kimi；ChatGPT</t>
  </si>
  <si>
    <t>R051</t>
  </si>
  <si>
    <t>R052</t>
  </si>
  <si>
    <t>Claude；文心一言；DeepSeek</t>
  </si>
  <si>
    <t>R053</t>
  </si>
  <si>
    <t>ChatGPT；Claude；通义千问；Kimi</t>
  </si>
  <si>
    <t>R054</t>
  </si>
  <si>
    <t>通义千问；Kimi；Gemini</t>
  </si>
  <si>
    <t>R055</t>
  </si>
  <si>
    <t>Gemini；通义千问；ChatGPT</t>
  </si>
  <si>
    <t>R056</t>
  </si>
  <si>
    <t>R057</t>
  </si>
  <si>
    <t>通义千问；ChatGPT</t>
  </si>
  <si>
    <t>R058</t>
  </si>
  <si>
    <t>R059</t>
  </si>
  <si>
    <t>文心一言；豆包</t>
  </si>
  <si>
    <t>R060</t>
  </si>
  <si>
    <t>通义千问；文心一言</t>
  </si>
  <si>
    <t>R061</t>
  </si>
  <si>
    <t>R062</t>
  </si>
  <si>
    <t>Gemini；ChatGPT；Claude</t>
  </si>
  <si>
    <t>R063</t>
  </si>
  <si>
    <t>Claude；ChatGPT</t>
  </si>
  <si>
    <t>R064</t>
  </si>
  <si>
    <t>Gemini；Kimi</t>
  </si>
  <si>
    <t>R065</t>
  </si>
  <si>
    <t>R066</t>
  </si>
  <si>
    <t>通义千问；Gemini；ChatGPT；Kimi</t>
  </si>
  <si>
    <t>R067</t>
  </si>
  <si>
    <t>Gemini；DeepSeek；Kimi</t>
  </si>
  <si>
    <t>R068</t>
  </si>
  <si>
    <t>文心一言；ChatGPT；豆包</t>
  </si>
  <si>
    <t>R069</t>
  </si>
  <si>
    <t>Kimi；豆包；Claude</t>
  </si>
  <si>
    <t>R070</t>
  </si>
  <si>
    <t>ChatGPT；Kimi；通义千问</t>
  </si>
  <si>
    <t>R071</t>
  </si>
  <si>
    <t>Claude；通义千问；文心一言</t>
  </si>
  <si>
    <t>R072</t>
  </si>
  <si>
    <t>R073</t>
  </si>
  <si>
    <t>通义千问</t>
  </si>
  <si>
    <t>R074</t>
  </si>
  <si>
    <t>Kimi；Gemini</t>
  </si>
  <si>
    <t>R075</t>
  </si>
  <si>
    <t>R076</t>
  </si>
  <si>
    <t>R077</t>
  </si>
  <si>
    <t>文心一言；通义千问；ChatGPT</t>
  </si>
  <si>
    <t>R078</t>
  </si>
  <si>
    <t>R079</t>
  </si>
  <si>
    <t>Gemini；Claude；ChatGPT</t>
  </si>
  <si>
    <t>R080</t>
  </si>
  <si>
    <t>Kimi；Claude；豆包</t>
  </si>
  <si>
    <t>R081</t>
  </si>
  <si>
    <t>DeepSeek；Kimi；ChatGPT</t>
  </si>
  <si>
    <t>R082</t>
  </si>
  <si>
    <t>Kimi</t>
  </si>
  <si>
    <t>R083</t>
  </si>
  <si>
    <t>Gemini；ChatGPT；文心一言</t>
  </si>
  <si>
    <t>R084</t>
  </si>
  <si>
    <t>R085</t>
  </si>
  <si>
    <t>R086</t>
  </si>
  <si>
    <t>文心一言</t>
  </si>
  <si>
    <t>R087</t>
  </si>
  <si>
    <t>通义千问；文心一言；ChatGPT</t>
  </si>
  <si>
    <t>R088</t>
  </si>
  <si>
    <t>通义千问；Claude；豆包</t>
  </si>
  <si>
    <t>R089</t>
  </si>
  <si>
    <t>Gemini；文心一言；ChatGPT</t>
  </si>
  <si>
    <t>R090</t>
  </si>
  <si>
    <t>文心一言；ChatGPT；通义千问</t>
  </si>
  <si>
    <t>R091</t>
  </si>
  <si>
    <t>文心一言；Claude；ChatGPT；Gemini</t>
  </si>
  <si>
    <t>R092</t>
  </si>
  <si>
    <t>Kimi；DeepSeek</t>
  </si>
  <si>
    <t>R093</t>
  </si>
  <si>
    <t>R094</t>
  </si>
  <si>
    <t>文心一言；豆包；DeepSeek</t>
  </si>
  <si>
    <t>R095</t>
  </si>
  <si>
    <t>文心一言；豆包；Gemini</t>
  </si>
  <si>
    <t>R096</t>
  </si>
  <si>
    <t>R097</t>
  </si>
  <si>
    <t>文心一言；ChatGPT；Claude</t>
  </si>
  <si>
    <t>R098</t>
  </si>
  <si>
    <t>R099</t>
  </si>
  <si>
    <t>ChatGPT；通义千问；豆包；DeepSeek</t>
  </si>
  <si>
    <t>R100</t>
  </si>
  <si>
    <t>文心一言；ChatGPT；Gemini</t>
  </si>
  <si>
    <t>R101</t>
  </si>
  <si>
    <t>通义千问；ChatGPT；DeepSeek</t>
  </si>
  <si>
    <t>R102</t>
  </si>
  <si>
    <t>R103</t>
  </si>
  <si>
    <t>R104</t>
  </si>
  <si>
    <t>Claude；ChatGPT；豆包；Kimi</t>
  </si>
  <si>
    <t>R106</t>
  </si>
  <si>
    <t>DeepSeek；ChatGPT</t>
  </si>
  <si>
    <t>R108</t>
  </si>
  <si>
    <t>无</t>
  </si>
  <si>
    <t>问题类型</t>
  </si>
  <si>
    <t>问题位置</t>
  </si>
  <si>
    <t>原始情况</t>
  </si>
  <si>
    <t>如何处理</t>
  </si>
  <si>
    <t>影响数量</t>
  </si>
  <si>
    <t>是否需要人工确认</t>
  </si>
  <si>
    <t>重复数据</t>
  </si>
  <si>
    <t>原始数据第111行（R019）</t>
  </si>
  <si>
    <t>与另一条记录各字段一致，仅开放建议单元格的底层空值存储方式不同</t>
  </si>
  <si>
    <t>删除重复记录，保留首次出现记录</t>
  </si>
  <si>
    <t>否</t>
  </si>
  <si>
    <t>无效或低质量数据</t>
  </si>
  <si>
    <t>原始数据第110行（R109）</t>
  </si>
  <si>
    <t>除受访者ID外，所有题目均填写“无”</t>
  </si>
  <si>
    <t>判定为明显无效问卷并删除</t>
  </si>
  <si>
    <t>缺失数据</t>
  </si>
  <si>
    <t>开放建议列</t>
  </si>
  <si>
    <t>原始数据中空白/缺失 40 条</t>
  </si>
  <si>
    <t>保留空白，不进行填补</t>
  </si>
  <si>
    <t>格式和类别不统一</t>
  </si>
  <si>
    <t>原始数据第44行（R043）·年级</t>
  </si>
  <si>
    <t>'大二 '</t>
  </si>
  <si>
    <t>去除首尾空格：'大二'</t>
  </si>
  <si>
    <t>原始数据第107行（R106）·年级</t>
  </si>
  <si>
    <t>原始数据第107行（R106）·常用AI工具（多选）</t>
  </si>
  <si>
    <t>'deepseek；Chat GPT'</t>
  </si>
  <si>
    <t>统一AI工具名称写法/大小写：'DeepSeek；ChatGPT'</t>
  </si>
  <si>
    <t>原始数据第18行（R017）·每周AI使用时长（小时）</t>
  </si>
  <si>
    <t>原值缺失</t>
  </si>
  <si>
    <t>按人工确认结果填入 0</t>
  </si>
  <si>
    <t>原始数据第106行（R105）</t>
  </si>
  <si>
    <t>AI使用频率、当前最大痛点缺失</t>
  </si>
  <si>
    <t>按人工确认结果删除该记录</t>
  </si>
  <si>
    <t>异常数据</t>
  </si>
  <si>
    <t>原始数据第108行（R107）</t>
  </si>
  <si>
    <t>每周AI使用时长=-2.5；四项1-5评分分别为6、0、7、9</t>
  </si>
  <si>
    <t>原始记录数</t>
  </si>
  <si>
    <t>删除数</t>
  </si>
  <si>
    <t>修改数</t>
  </si>
  <si>
    <t>待确认数</t>
  </si>
  <si>
    <t>最终记录数</t>
  </si>
  <si>
    <t>口径说明</t>
  </si>
  <si>
    <t>删除数按删除的记录数统计；修改数按发生明确格式/类别修正的记录数统计；待确认数按需要人工核实的记录数统计。缺失值仅保留并记录，不计入修改数。</t>
  </si>
  <si>
    <t>不同年级（人数与组内占比）</t>
  </si>
  <si>
    <t>合计</t>
  </si>
  <si>
    <t>样本占比</t>
  </si>
  <si>
    <t>年级（组内百分比）</t>
  </si>
  <si>
    <t>说明</t>
  </si>
  <si>
    <t>上表为人数；下表为各组内部百分比。右侧采用 100% 堆积条形图，便于比较不同组的 AI 使用频率构成差异。</t>
  </si>
  <si>
    <t>不同专业（人数与组内占比）</t>
  </si>
  <si>
    <t>专业类别（组内百分比）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</si>
</sst>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27">
    <font>
      <sz val="11"/>
      <color theme="1"/>
      <name val="宋体"/>
      <charset val="134"/>
      <scheme val="minor"/>
    </font>
    <font>
      <b/>
      <sz val="16"/>
      <color rgb="FF1F4E78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C6591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177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不同年级：AI 使用频率构成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年级_AI使用频率!$B$12</c:f>
              <c:strCache>
                <c:ptCount val="1"/>
                <c:pt idx="0">
                  <c:v>几乎不用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年级_AI使用频率!$B$13:$B$16</c:f>
              <c:numCache>
                <c:formatCode>0.0%</c:formatCode>
                <c:ptCount val="4"/>
                <c:pt idx="0">
                  <c:v>0.1</c:v>
                </c:pt>
                <c:pt idx="1">
                  <c:v>0.0789473684210526</c:v>
                </c:pt>
                <c:pt idx="2">
                  <c:v>0.0769230769230769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年级_AI使用频率!$C$12</c:f>
              <c:strCache>
                <c:ptCount val="1"/>
                <c:pt idx="0">
                  <c:v>每月1-3次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年级_AI使用频率!$C$13:$C$16</c:f>
              <c:numCache>
                <c:formatCode>0.0%</c:formatCode>
                <c:ptCount val="4"/>
                <c:pt idx="0">
                  <c:v>0.133333333333333</c:v>
                </c:pt>
                <c:pt idx="1">
                  <c:v>0.131578947368421</c:v>
                </c:pt>
                <c:pt idx="2">
                  <c:v>0</c:v>
                </c:pt>
                <c:pt idx="3">
                  <c:v>0.166666666666667</c:v>
                </c:pt>
              </c:numCache>
            </c:numRef>
          </c:val>
        </c:ser>
        <c:ser>
          <c:idx val="2"/>
          <c:order val="2"/>
          <c:tx>
            <c:strRef>
              <c:f>年级_AI使用频率!$D$12</c:f>
              <c:strCache>
                <c:ptCount val="1"/>
                <c:pt idx="0">
                  <c:v>每周1-2次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年级_AI使用频率!$D$13:$D$16</c:f>
              <c:numCache>
                <c:formatCode>0.0%</c:formatCode>
                <c:ptCount val="4"/>
                <c:pt idx="0">
                  <c:v>0.3</c:v>
                </c:pt>
                <c:pt idx="1">
                  <c:v>0.131578947368421</c:v>
                </c:pt>
                <c:pt idx="2">
                  <c:v>0.192307692307692</c:v>
                </c:pt>
                <c:pt idx="3">
                  <c:v>0.333333333333333</c:v>
                </c:pt>
              </c:numCache>
            </c:numRef>
          </c:val>
        </c:ser>
        <c:ser>
          <c:idx val="3"/>
          <c:order val="3"/>
          <c:tx>
            <c:strRef>
              <c:f>年级_AI使用频率!$E$12</c:f>
              <c:strCache>
                <c:ptCount val="1"/>
                <c:pt idx="0">
                  <c:v>每周3-5次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年级_AI使用频率!$E$13:$E$16</c:f>
              <c:numCache>
                <c:formatCode>0.0%</c:formatCode>
                <c:ptCount val="4"/>
                <c:pt idx="0">
                  <c:v>0.266666666666667</c:v>
                </c:pt>
                <c:pt idx="1">
                  <c:v>0.552631578947368</c:v>
                </c:pt>
                <c:pt idx="2">
                  <c:v>0.307692307692308</c:v>
                </c:pt>
                <c:pt idx="3">
                  <c:v>0.166666666666667</c:v>
                </c:pt>
              </c:numCache>
            </c:numRef>
          </c:val>
        </c:ser>
        <c:ser>
          <c:idx val="4"/>
          <c:order val="4"/>
          <c:tx>
            <c:strRef>
              <c:f>年级_AI使用频率!$F$12</c:f>
              <c:strCache>
                <c:ptCount val="1"/>
                <c:pt idx="0">
                  <c:v>几乎每天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年级_AI使用频率!$F$13:$F$16</c:f>
              <c:numCache>
                <c:formatCode>0.0%</c:formatCode>
                <c:ptCount val="4"/>
                <c:pt idx="0">
                  <c:v>0.2</c:v>
                </c:pt>
                <c:pt idx="1">
                  <c:v>0.105263157894737</c:v>
                </c:pt>
                <c:pt idx="2">
                  <c:v>0.423076923076923</c:v>
                </c:pt>
                <c:pt idx="3">
                  <c:v>0.333333333333333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组内占比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年级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698209-1c58-4f77-8a18-418f5dccaa0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不同专业：AI 使用频率构成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专业_AI使用频率!$B$13</c:f>
              <c:strCache>
                <c:ptCount val="1"/>
                <c:pt idx="0">
                  <c:v>几乎不用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专业_AI使用频率!$B$14:$B$18</c:f>
              <c:numCache>
                <c:formatCode>0.0%</c:formatCode>
                <c:ptCount val="5"/>
                <c:pt idx="0">
                  <c:v>0.037037037037037</c:v>
                </c:pt>
                <c:pt idx="1">
                  <c:v>0.115384615384615</c:v>
                </c:pt>
                <c:pt idx="2">
                  <c:v>0.0833333333333333</c:v>
                </c:pt>
                <c:pt idx="3">
                  <c:v>0.0588235294117647</c:v>
                </c:pt>
                <c:pt idx="4">
                  <c:v>0.0833333333333333</c:v>
                </c:pt>
              </c:numCache>
            </c:numRef>
          </c:val>
        </c:ser>
        <c:ser>
          <c:idx val="1"/>
          <c:order val="1"/>
          <c:tx>
            <c:strRef>
              <c:f>专业_AI使用频率!$C$13</c:f>
              <c:strCache>
                <c:ptCount val="1"/>
                <c:pt idx="0">
                  <c:v>每月1-3次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专业_AI使用频率!$C$14:$C$18</c:f>
              <c:numCache>
                <c:formatCode>0.0%</c:formatCode>
                <c:ptCount val="5"/>
                <c:pt idx="0">
                  <c:v>0.111111111111111</c:v>
                </c:pt>
                <c:pt idx="1">
                  <c:v>0.115384615384615</c:v>
                </c:pt>
                <c:pt idx="2">
                  <c:v>0</c:v>
                </c:pt>
                <c:pt idx="3">
                  <c:v>0.117647058823529</c:v>
                </c:pt>
                <c:pt idx="4">
                  <c:v>0.25</c:v>
                </c:pt>
              </c:numCache>
            </c:numRef>
          </c:val>
        </c:ser>
        <c:ser>
          <c:idx val="2"/>
          <c:order val="2"/>
          <c:tx>
            <c:strRef>
              <c:f>专业_AI使用频率!$D$13</c:f>
              <c:strCache>
                <c:ptCount val="1"/>
                <c:pt idx="0">
                  <c:v>每周1-2次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专业_AI使用频率!$D$14:$D$18</c:f>
              <c:numCache>
                <c:formatCode>0.0%</c:formatCode>
                <c:ptCount val="5"/>
                <c:pt idx="0">
                  <c:v>0.185185185185185</c:v>
                </c:pt>
                <c:pt idx="1">
                  <c:v>0.115384615384615</c:v>
                </c:pt>
                <c:pt idx="2">
                  <c:v>0.291666666666667</c:v>
                </c:pt>
                <c:pt idx="3">
                  <c:v>0.176470588235294</c:v>
                </c:pt>
                <c:pt idx="4">
                  <c:v>0.416666666666667</c:v>
                </c:pt>
              </c:numCache>
            </c:numRef>
          </c:val>
        </c:ser>
        <c:ser>
          <c:idx val="3"/>
          <c:order val="3"/>
          <c:tx>
            <c:strRef>
              <c:f>专业_AI使用频率!$E$13</c:f>
              <c:strCache>
                <c:ptCount val="1"/>
                <c:pt idx="0">
                  <c:v>每周3-5次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专业_AI使用频率!$E$14:$E$18</c:f>
              <c:numCache>
                <c:formatCode>0.0%</c:formatCode>
                <c:ptCount val="5"/>
                <c:pt idx="0">
                  <c:v>0.407407407407407</c:v>
                </c:pt>
                <c:pt idx="1">
                  <c:v>0.192307692307692</c:v>
                </c:pt>
                <c:pt idx="2">
                  <c:v>0.416666666666667</c:v>
                </c:pt>
                <c:pt idx="3">
                  <c:v>0.647058823529412</c:v>
                </c:pt>
                <c:pt idx="4">
                  <c:v>0.166666666666667</c:v>
                </c:pt>
              </c:numCache>
            </c:numRef>
          </c:val>
        </c:ser>
        <c:ser>
          <c:idx val="4"/>
          <c:order val="4"/>
          <c:tx>
            <c:strRef>
              <c:f>专业_AI使用频率!$F$13</c:f>
              <c:strCache>
                <c:ptCount val="1"/>
                <c:pt idx="0">
                  <c:v>几乎每天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专业_AI使用频率!$F$14:$F$18</c:f>
              <c:numCache>
                <c:formatCode>0.0%</c:formatCode>
                <c:ptCount val="5"/>
                <c:pt idx="0">
                  <c:v>0.259259259259259</c:v>
                </c:pt>
                <c:pt idx="1">
                  <c:v>0.461538461538462</c:v>
                </c:pt>
                <c:pt idx="2">
                  <c:v>0.208333333333333</c:v>
                </c:pt>
                <c:pt idx="3">
                  <c:v>0</c:v>
                </c:pt>
                <c:pt idx="4">
                  <c:v>0.0833333333333333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组内占比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专业类别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40b788-9f9e-4c0d-adaa-0ad38bb04bc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2</xdr:row>
      <xdr:rowOff>0</xdr:rowOff>
    </xdr:from>
    <xdr:ext cx="5760000" cy="2755200"/>
    <xdr:graphicFrame>
      <xdr:nvGraphicFramePr>
        <xdr:cNvPr id="2" name="Chart 1"/>
        <xdr:cNvGraphicFramePr/>
      </xdr:nvGraphicFramePr>
      <xdr:xfrm>
        <a:off x="8538845" y="428625"/>
        <a:ext cx="5759450" cy="2754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2</xdr:row>
      <xdr:rowOff>0</xdr:rowOff>
    </xdr:from>
    <xdr:ext cx="5760000" cy="2755200"/>
    <xdr:graphicFrame>
      <xdr:nvGraphicFramePr>
        <xdr:cNvPr id="2" name="Chart 1"/>
        <xdr:cNvGraphicFramePr/>
      </xdr:nvGraphicFramePr>
      <xdr:xfrm>
        <a:off x="8538845" y="428625"/>
        <a:ext cx="5759450" cy="2754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2" customWidth="1"/>
    <col min="2" max="2" width="9" customWidth="1"/>
    <col min="3" max="3" width="13" customWidth="1"/>
    <col min="4" max="4" width="9" customWidth="1"/>
    <col min="5" max="5" width="14" customWidth="1"/>
    <col min="6" max="6" width="19" customWidth="1"/>
    <col min="7" max="7" width="32" customWidth="1"/>
    <col min="8" max="8" width="20" customWidth="1"/>
    <col min="9" max="9" width="24" customWidth="1"/>
    <col min="10" max="10" width="23" customWidth="1"/>
    <col min="11" max="11" width="24" customWidth="1"/>
    <col min="12" max="12" width="23" customWidth="1"/>
    <col min="13" max="13" width="26" customWidth="1"/>
    <col min="14" max="14" width="22" customWidth="1"/>
    <col min="15" max="15" width="20" customWidth="1"/>
    <col min="16" max="16" width="46" customWidth="1"/>
    <col min="17" max="17" width="70" customWidth="1"/>
  </cols>
  <sheetData>
    <row r="1" ht="36" customHeight="1" spans="1:1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>
      <c r="A2" s="14" t="s">
        <v>17</v>
      </c>
      <c r="B2" s="14" t="s">
        <v>18</v>
      </c>
      <c r="C2" s="14" t="s">
        <v>19</v>
      </c>
      <c r="D2" s="14" t="s">
        <v>20</v>
      </c>
      <c r="E2" s="14" t="s">
        <v>21</v>
      </c>
      <c r="F2" s="16">
        <v>6.8</v>
      </c>
      <c r="G2" s="14" t="s">
        <v>22</v>
      </c>
      <c r="H2" s="14" t="s">
        <v>23</v>
      </c>
      <c r="I2" s="17">
        <v>4</v>
      </c>
      <c r="J2" s="17">
        <v>3</v>
      </c>
      <c r="K2" s="17">
        <v>2</v>
      </c>
      <c r="L2" s="17">
        <v>4</v>
      </c>
      <c r="M2" s="14" t="s">
        <v>24</v>
      </c>
      <c r="N2" s="14" t="s">
        <v>25</v>
      </c>
      <c r="O2" s="14" t="s">
        <v>26</v>
      </c>
      <c r="P2" s="14" t="s">
        <v>27</v>
      </c>
      <c r="Q2" s="14" t="s">
        <v>28</v>
      </c>
    </row>
    <row r="3" spans="1:17">
      <c r="A3" s="14" t="s">
        <v>29</v>
      </c>
      <c r="B3" s="14" t="s">
        <v>30</v>
      </c>
      <c r="C3" s="14" t="s">
        <v>19</v>
      </c>
      <c r="D3" s="14" t="s">
        <v>31</v>
      </c>
      <c r="E3" s="14" t="s">
        <v>32</v>
      </c>
      <c r="F3" s="16">
        <v>6.3</v>
      </c>
      <c r="G3" s="14" t="s">
        <v>33</v>
      </c>
      <c r="H3" s="14" t="s">
        <v>34</v>
      </c>
      <c r="I3" s="17">
        <v>2</v>
      </c>
      <c r="J3" s="17">
        <v>3</v>
      </c>
      <c r="K3" s="17">
        <v>2</v>
      </c>
      <c r="L3" s="17">
        <v>4</v>
      </c>
      <c r="M3" s="14" t="s">
        <v>24</v>
      </c>
      <c r="N3" s="14" t="s">
        <v>25</v>
      </c>
      <c r="O3" s="14" t="s">
        <v>35</v>
      </c>
      <c r="P3" s="14" t="s">
        <v>27</v>
      </c>
      <c r="Q3" s="14" t="s">
        <v>28</v>
      </c>
    </row>
    <row r="4" spans="1:17">
      <c r="A4" s="14" t="s">
        <v>36</v>
      </c>
      <c r="B4" s="14" t="s">
        <v>37</v>
      </c>
      <c r="C4" s="14" t="s">
        <v>38</v>
      </c>
      <c r="D4" s="14" t="s">
        <v>20</v>
      </c>
      <c r="E4" s="14" t="s">
        <v>39</v>
      </c>
      <c r="F4" s="16">
        <v>2.3</v>
      </c>
      <c r="G4" s="14" t="s">
        <v>40</v>
      </c>
      <c r="H4" s="14" t="s">
        <v>41</v>
      </c>
      <c r="I4" s="17">
        <v>3</v>
      </c>
      <c r="J4" s="17">
        <v>3</v>
      </c>
      <c r="K4" s="17">
        <v>3</v>
      </c>
      <c r="L4" s="17">
        <v>4</v>
      </c>
      <c r="M4" s="14" t="s">
        <v>42</v>
      </c>
      <c r="N4" s="14" t="s">
        <v>43</v>
      </c>
      <c r="O4" s="14" t="s">
        <v>26</v>
      </c>
      <c r="P4" s="14" t="s">
        <v>44</v>
      </c>
      <c r="Q4" s="14" t="s">
        <v>28</v>
      </c>
    </row>
    <row r="5" spans="1:17">
      <c r="A5" s="14" t="s">
        <v>45</v>
      </c>
      <c r="B5" s="14" t="s">
        <v>30</v>
      </c>
      <c r="C5" s="14" t="s">
        <v>38</v>
      </c>
      <c r="D5" s="14" t="s">
        <v>31</v>
      </c>
      <c r="E5" s="14" t="s">
        <v>32</v>
      </c>
      <c r="F5" s="16">
        <v>6</v>
      </c>
      <c r="G5" s="14" t="s">
        <v>46</v>
      </c>
      <c r="H5" s="14" t="s">
        <v>34</v>
      </c>
      <c r="I5" s="17">
        <v>4</v>
      </c>
      <c r="J5" s="17">
        <v>3</v>
      </c>
      <c r="K5" s="17">
        <v>4</v>
      </c>
      <c r="L5" s="17">
        <v>3</v>
      </c>
      <c r="M5" s="14" t="s">
        <v>42</v>
      </c>
      <c r="N5" s="14" t="s">
        <v>47</v>
      </c>
      <c r="O5" s="14" t="s">
        <v>48</v>
      </c>
      <c r="P5" s="14" t="s">
        <v>49</v>
      </c>
      <c r="Q5" s="14" t="s">
        <v>28</v>
      </c>
    </row>
    <row r="6" spans="1:17">
      <c r="A6" s="14" t="s">
        <v>50</v>
      </c>
      <c r="B6" s="14" t="s">
        <v>51</v>
      </c>
      <c r="C6" s="14" t="s">
        <v>52</v>
      </c>
      <c r="D6" s="14" t="s">
        <v>20</v>
      </c>
      <c r="E6" s="14" t="s">
        <v>39</v>
      </c>
      <c r="F6" s="16">
        <v>2</v>
      </c>
      <c r="G6" s="14" t="s">
        <v>53</v>
      </c>
      <c r="H6" s="14" t="s">
        <v>54</v>
      </c>
      <c r="I6" s="17">
        <v>4</v>
      </c>
      <c r="J6" s="17">
        <v>4</v>
      </c>
      <c r="K6" s="17">
        <v>3</v>
      </c>
      <c r="L6" s="17">
        <v>3</v>
      </c>
      <c r="M6" s="14" t="s">
        <v>24</v>
      </c>
      <c r="N6" s="14" t="s">
        <v>55</v>
      </c>
      <c r="O6" s="14" t="s">
        <v>35</v>
      </c>
      <c r="P6" s="14" t="s">
        <v>44</v>
      </c>
      <c r="Q6" s="14" t="s">
        <v>28</v>
      </c>
    </row>
    <row r="7" spans="1:17">
      <c r="A7" s="14" t="s">
        <v>56</v>
      </c>
      <c r="B7" s="14" t="s">
        <v>18</v>
      </c>
      <c r="C7" s="14" t="s">
        <v>57</v>
      </c>
      <c r="D7" s="14" t="s">
        <v>31</v>
      </c>
      <c r="E7" s="14" t="s">
        <v>39</v>
      </c>
      <c r="F7" s="16">
        <v>1.2</v>
      </c>
      <c r="G7" s="14" t="s">
        <v>58</v>
      </c>
      <c r="H7" s="14" t="s">
        <v>23</v>
      </c>
      <c r="I7" s="17">
        <v>4</v>
      </c>
      <c r="J7" s="17">
        <v>3</v>
      </c>
      <c r="K7" s="17">
        <v>3</v>
      </c>
      <c r="L7" s="17">
        <v>2</v>
      </c>
      <c r="M7" s="14" t="s">
        <v>59</v>
      </c>
      <c r="N7" s="14" t="s">
        <v>25</v>
      </c>
      <c r="O7" s="14" t="s">
        <v>48</v>
      </c>
      <c r="P7" s="14" t="s">
        <v>28</v>
      </c>
      <c r="Q7" s="14" t="s">
        <v>28</v>
      </c>
    </row>
    <row r="8" spans="1:17">
      <c r="A8" s="14" t="s">
        <v>60</v>
      </c>
      <c r="B8" s="14" t="s">
        <v>37</v>
      </c>
      <c r="C8" s="14" t="s">
        <v>57</v>
      </c>
      <c r="D8" s="14" t="s">
        <v>31</v>
      </c>
      <c r="E8" s="14" t="s">
        <v>39</v>
      </c>
      <c r="F8" s="16">
        <v>2.2</v>
      </c>
      <c r="G8" s="14" t="s">
        <v>61</v>
      </c>
      <c r="H8" s="14" t="s">
        <v>54</v>
      </c>
      <c r="I8" s="17">
        <v>3</v>
      </c>
      <c r="J8" s="17">
        <v>3</v>
      </c>
      <c r="K8" s="17">
        <v>4</v>
      </c>
      <c r="L8" s="17">
        <v>4</v>
      </c>
      <c r="M8" s="14" t="s">
        <v>62</v>
      </c>
      <c r="N8" s="14" t="s">
        <v>63</v>
      </c>
      <c r="O8" s="14" t="s">
        <v>26</v>
      </c>
      <c r="P8" s="14" t="s">
        <v>44</v>
      </c>
      <c r="Q8" s="14" t="s">
        <v>28</v>
      </c>
    </row>
    <row r="9" spans="1:17">
      <c r="A9" s="14" t="s">
        <v>64</v>
      </c>
      <c r="B9" s="14" t="s">
        <v>51</v>
      </c>
      <c r="C9" s="14" t="s">
        <v>19</v>
      </c>
      <c r="D9" s="14" t="s">
        <v>20</v>
      </c>
      <c r="E9" s="14" t="s">
        <v>39</v>
      </c>
      <c r="F9" s="16">
        <v>3.4</v>
      </c>
      <c r="G9" s="14" t="s">
        <v>65</v>
      </c>
      <c r="H9" s="14" t="s">
        <v>23</v>
      </c>
      <c r="I9" s="17">
        <v>4</v>
      </c>
      <c r="J9" s="17">
        <v>4</v>
      </c>
      <c r="K9" s="17">
        <v>3</v>
      </c>
      <c r="L9" s="17">
        <v>3</v>
      </c>
      <c r="M9" s="14" t="s">
        <v>66</v>
      </c>
      <c r="N9" s="14" t="s">
        <v>47</v>
      </c>
      <c r="O9" s="14" t="s">
        <v>48</v>
      </c>
      <c r="P9" s="14" t="s">
        <v>67</v>
      </c>
      <c r="Q9" s="14" t="s">
        <v>28</v>
      </c>
    </row>
    <row r="10" spans="1:17">
      <c r="A10" s="14" t="s">
        <v>68</v>
      </c>
      <c r="B10" s="14" t="s">
        <v>51</v>
      </c>
      <c r="C10" s="14" t="s">
        <v>19</v>
      </c>
      <c r="D10" s="14" t="s">
        <v>69</v>
      </c>
      <c r="E10" s="14" t="s">
        <v>32</v>
      </c>
      <c r="F10" s="16">
        <v>5.6</v>
      </c>
      <c r="G10" s="14" t="s">
        <v>70</v>
      </c>
      <c r="H10" s="14" t="s">
        <v>23</v>
      </c>
      <c r="I10" s="17">
        <v>4</v>
      </c>
      <c r="J10" s="17">
        <v>2</v>
      </c>
      <c r="K10" s="17">
        <v>4</v>
      </c>
      <c r="L10" s="17">
        <v>5</v>
      </c>
      <c r="M10" s="14" t="s">
        <v>62</v>
      </c>
      <c r="N10" s="14" t="s">
        <v>55</v>
      </c>
      <c r="O10" s="14" t="s">
        <v>48</v>
      </c>
      <c r="P10" s="14" t="s">
        <v>28</v>
      </c>
      <c r="Q10" s="14" t="s">
        <v>28</v>
      </c>
    </row>
    <row r="11" ht="27" spans="1:17">
      <c r="A11" s="14" t="s">
        <v>71</v>
      </c>
      <c r="B11" s="14" t="s">
        <v>18</v>
      </c>
      <c r="C11" s="14" t="s">
        <v>19</v>
      </c>
      <c r="D11" s="14" t="s">
        <v>31</v>
      </c>
      <c r="E11" s="14" t="s">
        <v>21</v>
      </c>
      <c r="F11" s="16">
        <v>10.8</v>
      </c>
      <c r="G11" s="14" t="s">
        <v>72</v>
      </c>
      <c r="H11" s="14" t="s">
        <v>23</v>
      </c>
      <c r="I11" s="17">
        <v>4</v>
      </c>
      <c r="J11" s="17">
        <v>4</v>
      </c>
      <c r="K11" s="17">
        <v>4</v>
      </c>
      <c r="L11" s="17">
        <v>4</v>
      </c>
      <c r="M11" s="14" t="s">
        <v>66</v>
      </c>
      <c r="N11" s="14" t="s">
        <v>25</v>
      </c>
      <c r="O11" s="14" t="s">
        <v>35</v>
      </c>
      <c r="P11" s="14" t="s">
        <v>67</v>
      </c>
      <c r="Q11" s="14" t="s">
        <v>28</v>
      </c>
    </row>
    <row r="12" spans="1:17">
      <c r="A12" s="14" t="s">
        <v>73</v>
      </c>
      <c r="B12" s="14" t="s">
        <v>37</v>
      </c>
      <c r="C12" s="14" t="s">
        <v>38</v>
      </c>
      <c r="D12" s="14" t="s">
        <v>20</v>
      </c>
      <c r="E12" s="14" t="s">
        <v>39</v>
      </c>
      <c r="F12" s="16">
        <v>1.8</v>
      </c>
      <c r="G12" s="14" t="s">
        <v>74</v>
      </c>
      <c r="H12" s="14" t="s">
        <v>34</v>
      </c>
      <c r="I12" s="17">
        <v>4</v>
      </c>
      <c r="J12" s="17">
        <v>2</v>
      </c>
      <c r="K12" s="17">
        <v>4</v>
      </c>
      <c r="L12" s="17">
        <v>2</v>
      </c>
      <c r="M12" s="14" t="s">
        <v>66</v>
      </c>
      <c r="N12" s="14" t="s">
        <v>25</v>
      </c>
      <c r="O12" s="14" t="s">
        <v>35</v>
      </c>
      <c r="P12" s="14" t="s">
        <v>28</v>
      </c>
      <c r="Q12" s="14" t="s">
        <v>28</v>
      </c>
    </row>
    <row r="13" spans="1:17">
      <c r="A13" s="14" t="s">
        <v>75</v>
      </c>
      <c r="B13" s="14" t="s">
        <v>51</v>
      </c>
      <c r="C13" s="14" t="s">
        <v>19</v>
      </c>
      <c r="D13" s="14" t="s">
        <v>20</v>
      </c>
      <c r="E13" s="14" t="s">
        <v>21</v>
      </c>
      <c r="F13" s="16">
        <v>5.3</v>
      </c>
      <c r="G13" s="14" t="s">
        <v>76</v>
      </c>
      <c r="H13" s="14" t="s">
        <v>23</v>
      </c>
      <c r="I13" s="17">
        <v>5</v>
      </c>
      <c r="J13" s="17">
        <v>3</v>
      </c>
      <c r="K13" s="17">
        <v>5</v>
      </c>
      <c r="L13" s="17">
        <v>5</v>
      </c>
      <c r="M13" s="14" t="s">
        <v>62</v>
      </c>
      <c r="N13" s="14" t="s">
        <v>77</v>
      </c>
      <c r="O13" s="14" t="s">
        <v>48</v>
      </c>
      <c r="P13" s="14" t="s">
        <v>28</v>
      </c>
      <c r="Q13" s="14" t="s">
        <v>28</v>
      </c>
    </row>
    <row r="14" spans="1:17">
      <c r="A14" s="14" t="s">
        <v>78</v>
      </c>
      <c r="B14" s="14" t="s">
        <v>30</v>
      </c>
      <c r="C14" s="14" t="s">
        <v>79</v>
      </c>
      <c r="D14" s="14" t="s">
        <v>20</v>
      </c>
      <c r="E14" s="14" t="s">
        <v>32</v>
      </c>
      <c r="F14" s="16">
        <v>5.4</v>
      </c>
      <c r="G14" s="14" t="s">
        <v>61</v>
      </c>
      <c r="H14" s="14" t="s">
        <v>41</v>
      </c>
      <c r="I14" s="17">
        <v>4</v>
      </c>
      <c r="J14" s="17">
        <v>3</v>
      </c>
      <c r="K14" s="17">
        <v>4</v>
      </c>
      <c r="L14" s="17">
        <v>4</v>
      </c>
      <c r="M14" s="14" t="s">
        <v>62</v>
      </c>
      <c r="N14" s="14" t="s">
        <v>55</v>
      </c>
      <c r="O14" s="14" t="s">
        <v>80</v>
      </c>
      <c r="P14" s="14" t="s">
        <v>81</v>
      </c>
      <c r="Q14" s="14" t="s">
        <v>28</v>
      </c>
    </row>
    <row r="15" spans="1:17">
      <c r="A15" s="14" t="s">
        <v>82</v>
      </c>
      <c r="B15" s="14" t="s">
        <v>18</v>
      </c>
      <c r="C15" s="14" t="s">
        <v>19</v>
      </c>
      <c r="D15" s="14" t="s">
        <v>20</v>
      </c>
      <c r="E15" s="14" t="s">
        <v>21</v>
      </c>
      <c r="F15" s="16">
        <v>11.3</v>
      </c>
      <c r="G15" s="14" t="s">
        <v>83</v>
      </c>
      <c r="H15" s="14" t="s">
        <v>41</v>
      </c>
      <c r="I15" s="17">
        <v>4</v>
      </c>
      <c r="J15" s="17">
        <v>4</v>
      </c>
      <c r="K15" s="17">
        <v>4</v>
      </c>
      <c r="L15" s="17">
        <v>4</v>
      </c>
      <c r="M15" s="14" t="s">
        <v>84</v>
      </c>
      <c r="N15" s="14" t="s">
        <v>55</v>
      </c>
      <c r="O15" s="14" t="s">
        <v>85</v>
      </c>
      <c r="P15" s="14" t="s">
        <v>67</v>
      </c>
      <c r="Q15" s="14" t="s">
        <v>28</v>
      </c>
    </row>
    <row r="16" spans="1:17">
      <c r="A16" s="14" t="s">
        <v>86</v>
      </c>
      <c r="B16" s="14" t="s">
        <v>18</v>
      </c>
      <c r="C16" s="14" t="s">
        <v>52</v>
      </c>
      <c r="D16" s="14" t="s">
        <v>20</v>
      </c>
      <c r="E16" s="14" t="s">
        <v>87</v>
      </c>
      <c r="F16" s="16">
        <v>0.4</v>
      </c>
      <c r="G16" s="14" t="s">
        <v>88</v>
      </c>
      <c r="H16" s="14" t="s">
        <v>41</v>
      </c>
      <c r="I16" s="17">
        <v>3</v>
      </c>
      <c r="J16" s="17">
        <v>3</v>
      </c>
      <c r="K16" s="17">
        <v>3</v>
      </c>
      <c r="L16" s="17">
        <v>2</v>
      </c>
      <c r="M16" s="14" t="s">
        <v>66</v>
      </c>
      <c r="N16" s="14" t="s">
        <v>55</v>
      </c>
      <c r="O16" s="14" t="s">
        <v>85</v>
      </c>
      <c r="P16" s="14" t="s">
        <v>89</v>
      </c>
      <c r="Q16" s="14" t="s">
        <v>28</v>
      </c>
    </row>
    <row r="17" spans="1:17">
      <c r="A17" s="14" t="s">
        <v>90</v>
      </c>
      <c r="B17" s="14" t="s">
        <v>30</v>
      </c>
      <c r="C17" s="14" t="s">
        <v>52</v>
      </c>
      <c r="D17" s="14" t="s">
        <v>20</v>
      </c>
      <c r="E17" s="14" t="s">
        <v>32</v>
      </c>
      <c r="F17" s="16">
        <v>2.9</v>
      </c>
      <c r="G17" s="14" t="s">
        <v>91</v>
      </c>
      <c r="H17" s="14" t="s">
        <v>41</v>
      </c>
      <c r="I17" s="17">
        <v>4</v>
      </c>
      <c r="J17" s="17">
        <v>4</v>
      </c>
      <c r="K17" s="17">
        <v>3</v>
      </c>
      <c r="L17" s="17">
        <v>3</v>
      </c>
      <c r="M17" s="14" t="s">
        <v>62</v>
      </c>
      <c r="N17" s="14" t="s">
        <v>55</v>
      </c>
      <c r="O17" s="14" t="s">
        <v>80</v>
      </c>
      <c r="P17" s="14" t="s">
        <v>89</v>
      </c>
      <c r="Q17" s="14" t="s">
        <v>28</v>
      </c>
    </row>
    <row r="18" spans="1:17">
      <c r="A18" s="14" t="s">
        <v>92</v>
      </c>
      <c r="B18" s="14" t="s">
        <v>51</v>
      </c>
      <c r="C18" s="14" t="s">
        <v>38</v>
      </c>
      <c r="D18" s="14" t="s">
        <v>20</v>
      </c>
      <c r="E18" s="14" t="s">
        <v>87</v>
      </c>
      <c r="F18" s="16">
        <v>0</v>
      </c>
      <c r="G18" s="14" t="s">
        <v>93</v>
      </c>
      <c r="H18" s="14" t="s">
        <v>94</v>
      </c>
      <c r="I18" s="17">
        <v>2</v>
      </c>
      <c r="J18" s="17">
        <v>3</v>
      </c>
      <c r="K18" s="17">
        <v>2</v>
      </c>
      <c r="L18" s="17">
        <v>1</v>
      </c>
      <c r="M18" s="14" t="s">
        <v>66</v>
      </c>
      <c r="N18" s="14" t="s">
        <v>25</v>
      </c>
      <c r="O18" s="14" t="s">
        <v>48</v>
      </c>
      <c r="P18" s="14" t="s">
        <v>28</v>
      </c>
      <c r="Q18" s="18"/>
    </row>
    <row r="19" spans="1:17">
      <c r="A19" s="14" t="s">
        <v>95</v>
      </c>
      <c r="B19" s="14" t="s">
        <v>51</v>
      </c>
      <c r="C19" s="14" t="s">
        <v>19</v>
      </c>
      <c r="D19" s="14" t="s">
        <v>31</v>
      </c>
      <c r="E19" s="14" t="s">
        <v>96</v>
      </c>
      <c r="F19" s="16">
        <v>1.3</v>
      </c>
      <c r="G19" s="14" t="s">
        <v>97</v>
      </c>
      <c r="H19" s="14" t="s">
        <v>41</v>
      </c>
      <c r="I19" s="17">
        <v>3</v>
      </c>
      <c r="J19" s="17">
        <v>2</v>
      </c>
      <c r="K19" s="17">
        <v>4</v>
      </c>
      <c r="L19" s="17">
        <v>2</v>
      </c>
      <c r="M19" s="14" t="s">
        <v>24</v>
      </c>
      <c r="N19" s="14" t="s">
        <v>55</v>
      </c>
      <c r="O19" s="14" t="s">
        <v>48</v>
      </c>
      <c r="P19" s="14" t="s">
        <v>28</v>
      </c>
      <c r="Q19" s="14" t="s">
        <v>28</v>
      </c>
    </row>
    <row r="20" spans="1:17">
      <c r="A20" s="14" t="s">
        <v>98</v>
      </c>
      <c r="B20" s="14" t="s">
        <v>30</v>
      </c>
      <c r="C20" s="14" t="s">
        <v>52</v>
      </c>
      <c r="D20" s="14" t="s">
        <v>31</v>
      </c>
      <c r="E20" s="14" t="s">
        <v>96</v>
      </c>
      <c r="F20" s="16">
        <v>1.1</v>
      </c>
      <c r="G20" s="14" t="s">
        <v>99</v>
      </c>
      <c r="H20" s="14" t="s">
        <v>100</v>
      </c>
      <c r="I20" s="17">
        <v>2</v>
      </c>
      <c r="J20" s="17">
        <v>2</v>
      </c>
      <c r="K20" s="17">
        <v>2</v>
      </c>
      <c r="L20" s="17">
        <v>3</v>
      </c>
      <c r="M20" s="14" t="s">
        <v>62</v>
      </c>
      <c r="N20" s="14" t="s">
        <v>55</v>
      </c>
      <c r="O20" s="14" t="s">
        <v>35</v>
      </c>
      <c r="P20" s="14" t="s">
        <v>28</v>
      </c>
      <c r="Q20" s="14" t="s">
        <v>28</v>
      </c>
    </row>
    <row r="21" spans="1:17">
      <c r="A21" s="14" t="s">
        <v>101</v>
      </c>
      <c r="B21" s="14" t="s">
        <v>37</v>
      </c>
      <c r="C21" s="14" t="s">
        <v>79</v>
      </c>
      <c r="D21" s="14" t="s">
        <v>20</v>
      </c>
      <c r="E21" s="14" t="s">
        <v>21</v>
      </c>
      <c r="F21" s="16">
        <v>11.9</v>
      </c>
      <c r="G21" s="14" t="s">
        <v>102</v>
      </c>
      <c r="H21" s="14" t="s">
        <v>23</v>
      </c>
      <c r="I21" s="17">
        <v>4</v>
      </c>
      <c r="J21" s="17">
        <v>2</v>
      </c>
      <c r="K21" s="17">
        <v>5</v>
      </c>
      <c r="L21" s="17">
        <v>4</v>
      </c>
      <c r="M21" s="14" t="s">
        <v>84</v>
      </c>
      <c r="N21" s="14" t="s">
        <v>25</v>
      </c>
      <c r="O21" s="14" t="s">
        <v>26</v>
      </c>
      <c r="P21" s="14" t="s">
        <v>67</v>
      </c>
      <c r="Q21" s="14" t="s">
        <v>28</v>
      </c>
    </row>
    <row r="22" ht="27" spans="1:17">
      <c r="A22" s="14" t="s">
        <v>103</v>
      </c>
      <c r="B22" s="14" t="s">
        <v>30</v>
      </c>
      <c r="C22" s="14" t="s">
        <v>52</v>
      </c>
      <c r="D22" s="14" t="s">
        <v>20</v>
      </c>
      <c r="E22" s="14" t="s">
        <v>32</v>
      </c>
      <c r="F22" s="16">
        <v>4.5</v>
      </c>
      <c r="G22" s="14" t="s">
        <v>104</v>
      </c>
      <c r="H22" s="14" t="s">
        <v>54</v>
      </c>
      <c r="I22" s="17">
        <v>3</v>
      </c>
      <c r="J22" s="17">
        <v>4</v>
      </c>
      <c r="K22" s="17">
        <v>3</v>
      </c>
      <c r="L22" s="17">
        <v>4</v>
      </c>
      <c r="M22" s="14" t="s">
        <v>62</v>
      </c>
      <c r="N22" s="14" t="s">
        <v>55</v>
      </c>
      <c r="O22" s="14" t="s">
        <v>48</v>
      </c>
      <c r="P22" s="14" t="s">
        <v>49</v>
      </c>
      <c r="Q22" s="14" t="s">
        <v>28</v>
      </c>
    </row>
    <row r="23" spans="1:17">
      <c r="A23" s="14" t="s">
        <v>105</v>
      </c>
      <c r="B23" s="14" t="s">
        <v>51</v>
      </c>
      <c r="C23" s="14" t="s">
        <v>57</v>
      </c>
      <c r="D23" s="14" t="s">
        <v>31</v>
      </c>
      <c r="E23" s="14" t="s">
        <v>87</v>
      </c>
      <c r="F23" s="16">
        <v>0.6</v>
      </c>
      <c r="G23" s="14" t="s">
        <v>97</v>
      </c>
      <c r="H23" s="14" t="s">
        <v>41</v>
      </c>
      <c r="I23" s="17">
        <v>3</v>
      </c>
      <c r="J23" s="17">
        <v>3</v>
      </c>
      <c r="K23" s="17">
        <v>3</v>
      </c>
      <c r="L23" s="17">
        <v>2</v>
      </c>
      <c r="M23" s="14" t="s">
        <v>84</v>
      </c>
      <c r="N23" s="14" t="s">
        <v>63</v>
      </c>
      <c r="O23" s="14" t="s">
        <v>26</v>
      </c>
      <c r="P23" s="14" t="s">
        <v>27</v>
      </c>
      <c r="Q23" s="14" t="s">
        <v>28</v>
      </c>
    </row>
    <row r="24" spans="1:17">
      <c r="A24" s="14" t="s">
        <v>106</v>
      </c>
      <c r="B24" s="14" t="s">
        <v>18</v>
      </c>
      <c r="C24" s="14" t="s">
        <v>38</v>
      </c>
      <c r="D24" s="14" t="s">
        <v>20</v>
      </c>
      <c r="E24" s="14" t="s">
        <v>21</v>
      </c>
      <c r="F24" s="16">
        <v>9.2</v>
      </c>
      <c r="G24" s="14" t="s">
        <v>107</v>
      </c>
      <c r="H24" s="14" t="s">
        <v>23</v>
      </c>
      <c r="I24" s="17">
        <v>4</v>
      </c>
      <c r="J24" s="17">
        <v>3</v>
      </c>
      <c r="K24" s="17">
        <v>2</v>
      </c>
      <c r="L24" s="17">
        <v>4</v>
      </c>
      <c r="M24" s="14" t="s">
        <v>59</v>
      </c>
      <c r="N24" s="14" t="s">
        <v>55</v>
      </c>
      <c r="O24" s="14" t="s">
        <v>48</v>
      </c>
      <c r="P24" s="14" t="s">
        <v>28</v>
      </c>
      <c r="Q24" s="14" t="s">
        <v>28</v>
      </c>
    </row>
    <row r="25" spans="1:17">
      <c r="A25" s="14" t="s">
        <v>108</v>
      </c>
      <c r="B25" s="14" t="s">
        <v>30</v>
      </c>
      <c r="C25" s="14" t="s">
        <v>38</v>
      </c>
      <c r="D25" s="14" t="s">
        <v>31</v>
      </c>
      <c r="E25" s="14" t="s">
        <v>32</v>
      </c>
      <c r="F25" s="16">
        <v>5.9</v>
      </c>
      <c r="G25" s="14" t="s">
        <v>109</v>
      </c>
      <c r="H25" s="14" t="s">
        <v>94</v>
      </c>
      <c r="I25" s="17">
        <v>4</v>
      </c>
      <c r="J25" s="17">
        <v>4</v>
      </c>
      <c r="K25" s="17">
        <v>3</v>
      </c>
      <c r="L25" s="17">
        <v>4</v>
      </c>
      <c r="M25" s="14" t="s">
        <v>62</v>
      </c>
      <c r="N25" s="14" t="s">
        <v>43</v>
      </c>
      <c r="O25" s="14" t="s">
        <v>85</v>
      </c>
      <c r="P25" s="14" t="s">
        <v>44</v>
      </c>
      <c r="Q25" s="14" t="s">
        <v>28</v>
      </c>
    </row>
    <row r="26" spans="1:17">
      <c r="A26" s="14" t="s">
        <v>110</v>
      </c>
      <c r="B26" s="14" t="s">
        <v>30</v>
      </c>
      <c r="C26" s="14" t="s">
        <v>57</v>
      </c>
      <c r="D26" s="14" t="s">
        <v>31</v>
      </c>
      <c r="E26" s="14" t="s">
        <v>32</v>
      </c>
      <c r="F26" s="16">
        <v>6.5</v>
      </c>
      <c r="G26" s="14" t="s">
        <v>111</v>
      </c>
      <c r="H26" s="14" t="s">
        <v>23</v>
      </c>
      <c r="I26" s="17">
        <v>3</v>
      </c>
      <c r="J26" s="17">
        <v>3</v>
      </c>
      <c r="K26" s="17">
        <v>4</v>
      </c>
      <c r="L26" s="17">
        <v>5</v>
      </c>
      <c r="M26" s="14" t="s">
        <v>84</v>
      </c>
      <c r="N26" s="14" t="s">
        <v>55</v>
      </c>
      <c r="O26" s="14" t="s">
        <v>26</v>
      </c>
      <c r="P26" s="14" t="s">
        <v>89</v>
      </c>
      <c r="Q26" s="14" t="s">
        <v>28</v>
      </c>
    </row>
    <row r="27" spans="1:17">
      <c r="A27" s="14" t="s">
        <v>112</v>
      </c>
      <c r="B27" s="14" t="s">
        <v>30</v>
      </c>
      <c r="C27" s="14" t="s">
        <v>52</v>
      </c>
      <c r="D27" s="14" t="s">
        <v>31</v>
      </c>
      <c r="E27" s="14" t="s">
        <v>96</v>
      </c>
      <c r="F27" s="16">
        <v>1</v>
      </c>
      <c r="G27" s="14" t="s">
        <v>113</v>
      </c>
      <c r="H27" s="14" t="s">
        <v>23</v>
      </c>
      <c r="I27" s="17">
        <v>3</v>
      </c>
      <c r="J27" s="17">
        <v>5</v>
      </c>
      <c r="K27" s="17">
        <v>3</v>
      </c>
      <c r="L27" s="17">
        <v>2</v>
      </c>
      <c r="M27" s="14" t="s">
        <v>24</v>
      </c>
      <c r="N27" s="14" t="s">
        <v>114</v>
      </c>
      <c r="O27" s="14" t="s">
        <v>35</v>
      </c>
      <c r="P27" s="14" t="s">
        <v>44</v>
      </c>
      <c r="Q27" s="14" t="s">
        <v>28</v>
      </c>
    </row>
    <row r="28" spans="1:17">
      <c r="A28" s="14" t="s">
        <v>115</v>
      </c>
      <c r="B28" s="14" t="s">
        <v>18</v>
      </c>
      <c r="C28" s="14" t="s">
        <v>79</v>
      </c>
      <c r="D28" s="14" t="s">
        <v>20</v>
      </c>
      <c r="E28" s="14" t="s">
        <v>21</v>
      </c>
      <c r="F28" s="16">
        <v>11.3</v>
      </c>
      <c r="G28" s="14" t="s">
        <v>116</v>
      </c>
      <c r="H28" s="14" t="s">
        <v>23</v>
      </c>
      <c r="I28" s="17">
        <v>4</v>
      </c>
      <c r="J28" s="17">
        <v>4</v>
      </c>
      <c r="K28" s="17">
        <v>4</v>
      </c>
      <c r="L28" s="17">
        <v>4</v>
      </c>
      <c r="M28" s="14" t="s">
        <v>42</v>
      </c>
      <c r="N28" s="14" t="s">
        <v>77</v>
      </c>
      <c r="O28" s="14" t="s">
        <v>26</v>
      </c>
      <c r="P28" s="14" t="s">
        <v>117</v>
      </c>
      <c r="Q28" s="14" t="s">
        <v>28</v>
      </c>
    </row>
    <row r="29" spans="1:17">
      <c r="A29" s="14" t="s">
        <v>118</v>
      </c>
      <c r="B29" s="14" t="s">
        <v>51</v>
      </c>
      <c r="C29" s="14" t="s">
        <v>38</v>
      </c>
      <c r="D29" s="14" t="s">
        <v>20</v>
      </c>
      <c r="E29" s="14" t="s">
        <v>21</v>
      </c>
      <c r="F29" s="16">
        <v>9.6</v>
      </c>
      <c r="G29" s="14" t="s">
        <v>119</v>
      </c>
      <c r="H29" s="14" t="s">
        <v>34</v>
      </c>
      <c r="I29" s="17">
        <v>5</v>
      </c>
      <c r="J29" s="17">
        <v>3</v>
      </c>
      <c r="K29" s="17">
        <v>4</v>
      </c>
      <c r="L29" s="17">
        <v>4</v>
      </c>
      <c r="M29" s="14" t="s">
        <v>42</v>
      </c>
      <c r="N29" s="14" t="s">
        <v>63</v>
      </c>
      <c r="O29" s="14" t="s">
        <v>85</v>
      </c>
      <c r="P29" s="14" t="s">
        <v>49</v>
      </c>
      <c r="Q29" s="14" t="s">
        <v>28</v>
      </c>
    </row>
    <row r="30" spans="1:17">
      <c r="A30" s="14" t="s">
        <v>120</v>
      </c>
      <c r="B30" s="14" t="s">
        <v>18</v>
      </c>
      <c r="C30" s="14" t="s">
        <v>79</v>
      </c>
      <c r="D30" s="14" t="s">
        <v>20</v>
      </c>
      <c r="E30" s="14" t="s">
        <v>39</v>
      </c>
      <c r="F30" s="16">
        <v>1.4</v>
      </c>
      <c r="G30" s="14" t="s">
        <v>53</v>
      </c>
      <c r="H30" s="14" t="s">
        <v>94</v>
      </c>
      <c r="I30" s="17">
        <v>3</v>
      </c>
      <c r="J30" s="17">
        <v>2</v>
      </c>
      <c r="K30" s="17">
        <v>4</v>
      </c>
      <c r="L30" s="17">
        <v>4</v>
      </c>
      <c r="M30" s="14" t="s">
        <v>62</v>
      </c>
      <c r="N30" s="14" t="s">
        <v>55</v>
      </c>
      <c r="O30" s="14" t="s">
        <v>48</v>
      </c>
      <c r="P30" s="14" t="s">
        <v>28</v>
      </c>
      <c r="Q30" s="14" t="s">
        <v>28</v>
      </c>
    </row>
    <row r="31" spans="1:17">
      <c r="A31" s="14" t="s">
        <v>121</v>
      </c>
      <c r="B31" s="14" t="s">
        <v>30</v>
      </c>
      <c r="C31" s="14" t="s">
        <v>19</v>
      </c>
      <c r="D31" s="14" t="s">
        <v>20</v>
      </c>
      <c r="E31" s="14" t="s">
        <v>87</v>
      </c>
      <c r="F31" s="16">
        <v>0.2</v>
      </c>
      <c r="G31" s="14" t="s">
        <v>93</v>
      </c>
      <c r="H31" s="14" t="s">
        <v>94</v>
      </c>
      <c r="I31" s="17">
        <v>3</v>
      </c>
      <c r="J31" s="17">
        <v>2</v>
      </c>
      <c r="K31" s="17">
        <v>3</v>
      </c>
      <c r="L31" s="17">
        <v>2</v>
      </c>
      <c r="M31" s="14" t="s">
        <v>62</v>
      </c>
      <c r="N31" s="14" t="s">
        <v>47</v>
      </c>
      <c r="O31" s="14" t="s">
        <v>35</v>
      </c>
      <c r="P31" s="14" t="s">
        <v>44</v>
      </c>
      <c r="Q31" s="14" t="s">
        <v>28</v>
      </c>
    </row>
    <row r="32" spans="1:17">
      <c r="A32" s="14" t="s">
        <v>122</v>
      </c>
      <c r="B32" s="14" t="s">
        <v>18</v>
      </c>
      <c r="C32" s="14" t="s">
        <v>79</v>
      </c>
      <c r="D32" s="14" t="s">
        <v>31</v>
      </c>
      <c r="E32" s="14" t="s">
        <v>32</v>
      </c>
      <c r="F32" s="16">
        <v>4.1</v>
      </c>
      <c r="G32" s="14" t="s">
        <v>123</v>
      </c>
      <c r="H32" s="14" t="s">
        <v>41</v>
      </c>
      <c r="I32" s="17">
        <v>4</v>
      </c>
      <c r="J32" s="17">
        <v>4</v>
      </c>
      <c r="K32" s="17">
        <v>3</v>
      </c>
      <c r="L32" s="17">
        <v>4</v>
      </c>
      <c r="M32" s="14" t="s">
        <v>62</v>
      </c>
      <c r="N32" s="14" t="s">
        <v>43</v>
      </c>
      <c r="O32" s="14" t="s">
        <v>35</v>
      </c>
      <c r="P32" s="14" t="s">
        <v>28</v>
      </c>
      <c r="Q32" s="14" t="s">
        <v>28</v>
      </c>
    </row>
    <row r="33" spans="1:17">
      <c r="A33" s="14" t="s">
        <v>124</v>
      </c>
      <c r="B33" s="14" t="s">
        <v>30</v>
      </c>
      <c r="C33" s="14" t="s">
        <v>79</v>
      </c>
      <c r="D33" s="14" t="s">
        <v>20</v>
      </c>
      <c r="E33" s="14" t="s">
        <v>32</v>
      </c>
      <c r="F33" s="16">
        <v>4</v>
      </c>
      <c r="G33" s="14" t="s">
        <v>125</v>
      </c>
      <c r="H33" s="14" t="s">
        <v>41</v>
      </c>
      <c r="I33" s="17">
        <v>3</v>
      </c>
      <c r="J33" s="17">
        <v>4</v>
      </c>
      <c r="K33" s="17">
        <v>3</v>
      </c>
      <c r="L33" s="17">
        <v>3</v>
      </c>
      <c r="M33" s="14" t="s">
        <v>84</v>
      </c>
      <c r="N33" s="14" t="s">
        <v>77</v>
      </c>
      <c r="O33" s="14" t="s">
        <v>26</v>
      </c>
      <c r="P33" s="14" t="s">
        <v>28</v>
      </c>
      <c r="Q33" s="14" t="s">
        <v>28</v>
      </c>
    </row>
    <row r="34" spans="1:17">
      <c r="A34" s="14" t="s">
        <v>126</v>
      </c>
      <c r="B34" s="14" t="s">
        <v>18</v>
      </c>
      <c r="C34" s="14" t="s">
        <v>57</v>
      </c>
      <c r="D34" s="14" t="s">
        <v>20</v>
      </c>
      <c r="E34" s="14" t="s">
        <v>39</v>
      </c>
      <c r="F34" s="16">
        <v>3.4</v>
      </c>
      <c r="G34" s="14" t="s">
        <v>127</v>
      </c>
      <c r="H34" s="14" t="s">
        <v>100</v>
      </c>
      <c r="I34" s="17">
        <v>2</v>
      </c>
      <c r="J34" s="17">
        <v>3</v>
      </c>
      <c r="K34" s="17">
        <v>3</v>
      </c>
      <c r="L34" s="17">
        <v>4</v>
      </c>
      <c r="M34" s="14" t="s">
        <v>62</v>
      </c>
      <c r="N34" s="14" t="s">
        <v>114</v>
      </c>
      <c r="O34" s="14" t="s">
        <v>48</v>
      </c>
      <c r="P34" s="14" t="s">
        <v>28</v>
      </c>
      <c r="Q34" s="14" t="s">
        <v>28</v>
      </c>
    </row>
    <row r="35" spans="1:17">
      <c r="A35" s="14" t="s">
        <v>128</v>
      </c>
      <c r="B35" s="14" t="s">
        <v>18</v>
      </c>
      <c r="C35" s="14" t="s">
        <v>38</v>
      </c>
      <c r="D35" s="14" t="s">
        <v>20</v>
      </c>
      <c r="E35" s="14" t="s">
        <v>32</v>
      </c>
      <c r="F35" s="16">
        <v>3.9</v>
      </c>
      <c r="G35" s="14" t="s">
        <v>129</v>
      </c>
      <c r="H35" s="14" t="s">
        <v>34</v>
      </c>
      <c r="I35" s="17">
        <v>4</v>
      </c>
      <c r="J35" s="17">
        <v>2</v>
      </c>
      <c r="K35" s="17">
        <v>3</v>
      </c>
      <c r="L35" s="17">
        <v>3</v>
      </c>
      <c r="M35" s="14" t="s">
        <v>42</v>
      </c>
      <c r="N35" s="14" t="s">
        <v>25</v>
      </c>
      <c r="O35" s="14" t="s">
        <v>48</v>
      </c>
      <c r="P35" s="14" t="s">
        <v>130</v>
      </c>
      <c r="Q35" s="14" t="s">
        <v>28</v>
      </c>
    </row>
    <row r="36" spans="1:17">
      <c r="A36" s="14" t="s">
        <v>131</v>
      </c>
      <c r="B36" s="14" t="s">
        <v>18</v>
      </c>
      <c r="C36" s="14" t="s">
        <v>38</v>
      </c>
      <c r="D36" s="14" t="s">
        <v>20</v>
      </c>
      <c r="E36" s="14" t="s">
        <v>21</v>
      </c>
      <c r="F36" s="16">
        <v>8.2</v>
      </c>
      <c r="G36" s="14" t="s">
        <v>132</v>
      </c>
      <c r="H36" s="14" t="s">
        <v>54</v>
      </c>
      <c r="I36" s="17">
        <v>5</v>
      </c>
      <c r="J36" s="17">
        <v>4</v>
      </c>
      <c r="K36" s="17">
        <v>3</v>
      </c>
      <c r="L36" s="17">
        <v>4</v>
      </c>
      <c r="M36" s="14" t="s">
        <v>62</v>
      </c>
      <c r="N36" s="14" t="s">
        <v>63</v>
      </c>
      <c r="O36" s="14" t="s">
        <v>26</v>
      </c>
      <c r="P36" s="14" t="s">
        <v>28</v>
      </c>
      <c r="Q36" s="14" t="s">
        <v>28</v>
      </c>
    </row>
    <row r="37" spans="1:17">
      <c r="A37" s="14" t="s">
        <v>133</v>
      </c>
      <c r="B37" s="14" t="s">
        <v>51</v>
      </c>
      <c r="C37" s="14" t="s">
        <v>79</v>
      </c>
      <c r="D37" s="14" t="s">
        <v>20</v>
      </c>
      <c r="E37" s="14" t="s">
        <v>39</v>
      </c>
      <c r="F37" s="16">
        <v>1.2</v>
      </c>
      <c r="G37" s="14" t="s">
        <v>134</v>
      </c>
      <c r="H37" s="14" t="s">
        <v>23</v>
      </c>
      <c r="I37" s="17">
        <v>3</v>
      </c>
      <c r="J37" s="17">
        <v>2</v>
      </c>
      <c r="K37" s="17">
        <v>3</v>
      </c>
      <c r="L37" s="17">
        <v>4</v>
      </c>
      <c r="M37" s="14" t="s">
        <v>62</v>
      </c>
      <c r="N37" s="14" t="s">
        <v>55</v>
      </c>
      <c r="O37" s="14" t="s">
        <v>80</v>
      </c>
      <c r="P37" s="14" t="s">
        <v>130</v>
      </c>
      <c r="Q37" s="14" t="s">
        <v>28</v>
      </c>
    </row>
    <row r="38" spans="1:17">
      <c r="A38" s="14" t="s">
        <v>135</v>
      </c>
      <c r="B38" s="14" t="s">
        <v>30</v>
      </c>
      <c r="C38" s="14" t="s">
        <v>79</v>
      </c>
      <c r="D38" s="14" t="s">
        <v>20</v>
      </c>
      <c r="E38" s="14" t="s">
        <v>32</v>
      </c>
      <c r="F38" s="16">
        <v>5.9</v>
      </c>
      <c r="G38" s="14" t="s">
        <v>136</v>
      </c>
      <c r="H38" s="14" t="s">
        <v>54</v>
      </c>
      <c r="I38" s="17">
        <v>4</v>
      </c>
      <c r="J38" s="17">
        <v>3</v>
      </c>
      <c r="K38" s="17">
        <v>3</v>
      </c>
      <c r="L38" s="17">
        <v>5</v>
      </c>
      <c r="M38" s="14" t="s">
        <v>84</v>
      </c>
      <c r="N38" s="14" t="s">
        <v>55</v>
      </c>
      <c r="O38" s="14" t="s">
        <v>35</v>
      </c>
      <c r="P38" s="14" t="s">
        <v>28</v>
      </c>
      <c r="Q38" s="14" t="s">
        <v>28</v>
      </c>
    </row>
    <row r="39" spans="1:17">
      <c r="A39" s="14" t="s">
        <v>137</v>
      </c>
      <c r="B39" s="14" t="s">
        <v>30</v>
      </c>
      <c r="C39" s="14" t="s">
        <v>57</v>
      </c>
      <c r="D39" s="14" t="s">
        <v>20</v>
      </c>
      <c r="E39" s="14" t="s">
        <v>96</v>
      </c>
      <c r="F39" s="16">
        <v>0.8</v>
      </c>
      <c r="G39" s="14" t="s">
        <v>53</v>
      </c>
      <c r="H39" s="14" t="s">
        <v>54</v>
      </c>
      <c r="I39" s="17">
        <v>2</v>
      </c>
      <c r="J39" s="17">
        <v>1</v>
      </c>
      <c r="K39" s="17">
        <v>2</v>
      </c>
      <c r="L39" s="17">
        <v>3</v>
      </c>
      <c r="M39" s="14" t="s">
        <v>62</v>
      </c>
      <c r="N39" s="14" t="s">
        <v>114</v>
      </c>
      <c r="O39" s="14" t="s">
        <v>48</v>
      </c>
      <c r="P39" s="14" t="s">
        <v>117</v>
      </c>
      <c r="Q39" s="14" t="s">
        <v>28</v>
      </c>
    </row>
    <row r="40" ht="27" spans="1:17">
      <c r="A40" s="14" t="s">
        <v>138</v>
      </c>
      <c r="B40" s="14" t="s">
        <v>30</v>
      </c>
      <c r="C40" s="14" t="s">
        <v>19</v>
      </c>
      <c r="D40" s="14" t="s">
        <v>31</v>
      </c>
      <c r="E40" s="14" t="s">
        <v>32</v>
      </c>
      <c r="F40" s="16">
        <v>5.7</v>
      </c>
      <c r="G40" s="14" t="s">
        <v>139</v>
      </c>
      <c r="H40" s="14" t="s">
        <v>54</v>
      </c>
      <c r="I40" s="17">
        <v>5</v>
      </c>
      <c r="J40" s="17">
        <v>5</v>
      </c>
      <c r="K40" s="17">
        <v>3</v>
      </c>
      <c r="L40" s="17">
        <v>4</v>
      </c>
      <c r="M40" s="14" t="s">
        <v>66</v>
      </c>
      <c r="N40" s="14" t="s">
        <v>114</v>
      </c>
      <c r="O40" s="14" t="s">
        <v>80</v>
      </c>
      <c r="P40" s="14" t="s">
        <v>44</v>
      </c>
      <c r="Q40" s="14" t="s">
        <v>28</v>
      </c>
    </row>
    <row r="41" spans="1:17">
      <c r="A41" s="14" t="s">
        <v>140</v>
      </c>
      <c r="B41" s="14" t="s">
        <v>30</v>
      </c>
      <c r="C41" s="14" t="s">
        <v>38</v>
      </c>
      <c r="D41" s="14" t="s">
        <v>31</v>
      </c>
      <c r="E41" s="14" t="s">
        <v>87</v>
      </c>
      <c r="F41" s="16">
        <v>0.5</v>
      </c>
      <c r="G41" s="14" t="s">
        <v>93</v>
      </c>
      <c r="H41" s="14" t="s">
        <v>94</v>
      </c>
      <c r="I41" s="17">
        <v>3</v>
      </c>
      <c r="J41" s="17">
        <v>3</v>
      </c>
      <c r="K41" s="17">
        <v>2</v>
      </c>
      <c r="L41" s="17">
        <v>3</v>
      </c>
      <c r="M41" s="14" t="s">
        <v>59</v>
      </c>
      <c r="N41" s="14" t="s">
        <v>55</v>
      </c>
      <c r="O41" s="14" t="s">
        <v>48</v>
      </c>
      <c r="P41" s="14" t="s">
        <v>27</v>
      </c>
      <c r="Q41" s="14" t="s">
        <v>28</v>
      </c>
    </row>
    <row r="42" spans="1:17">
      <c r="A42" s="14" t="s">
        <v>141</v>
      </c>
      <c r="B42" s="14" t="s">
        <v>37</v>
      </c>
      <c r="C42" s="14" t="s">
        <v>38</v>
      </c>
      <c r="D42" s="14" t="s">
        <v>20</v>
      </c>
      <c r="E42" s="14" t="s">
        <v>21</v>
      </c>
      <c r="F42" s="16">
        <v>7.6</v>
      </c>
      <c r="G42" s="14" t="s">
        <v>142</v>
      </c>
      <c r="H42" s="14" t="s">
        <v>54</v>
      </c>
      <c r="I42" s="17">
        <v>4</v>
      </c>
      <c r="J42" s="17">
        <v>4</v>
      </c>
      <c r="K42" s="17">
        <v>5</v>
      </c>
      <c r="L42" s="17">
        <v>4</v>
      </c>
      <c r="M42" s="14" t="s">
        <v>66</v>
      </c>
      <c r="N42" s="14" t="s">
        <v>114</v>
      </c>
      <c r="O42" s="14" t="s">
        <v>26</v>
      </c>
      <c r="P42" s="14" t="s">
        <v>27</v>
      </c>
      <c r="Q42" s="14" t="s">
        <v>28</v>
      </c>
    </row>
    <row r="43" spans="1:17">
      <c r="A43" s="14" t="s">
        <v>143</v>
      </c>
      <c r="B43" s="14" t="s">
        <v>51</v>
      </c>
      <c r="C43" s="14" t="s">
        <v>79</v>
      </c>
      <c r="D43" s="14" t="s">
        <v>20</v>
      </c>
      <c r="E43" s="14" t="s">
        <v>32</v>
      </c>
      <c r="F43" s="16">
        <v>5.4</v>
      </c>
      <c r="G43" s="14" t="s">
        <v>144</v>
      </c>
      <c r="H43" s="14" t="s">
        <v>41</v>
      </c>
      <c r="I43" s="17">
        <v>4</v>
      </c>
      <c r="J43" s="17">
        <v>3</v>
      </c>
      <c r="K43" s="17">
        <v>3</v>
      </c>
      <c r="L43" s="17">
        <v>4</v>
      </c>
      <c r="M43" s="14" t="s">
        <v>84</v>
      </c>
      <c r="N43" s="14" t="s">
        <v>77</v>
      </c>
      <c r="O43" s="14" t="s">
        <v>85</v>
      </c>
      <c r="P43" s="14" t="s">
        <v>67</v>
      </c>
      <c r="Q43" s="14" t="s">
        <v>28</v>
      </c>
    </row>
    <row r="44" spans="1:17">
      <c r="A44" s="14" t="s">
        <v>145</v>
      </c>
      <c r="B44" s="14" t="s">
        <v>30</v>
      </c>
      <c r="C44" s="14" t="s">
        <v>19</v>
      </c>
      <c r="D44" s="14" t="s">
        <v>31</v>
      </c>
      <c r="E44" s="14" t="s">
        <v>32</v>
      </c>
      <c r="F44" s="16">
        <v>3.6</v>
      </c>
      <c r="G44" s="14" t="s">
        <v>146</v>
      </c>
      <c r="H44" s="14" t="s">
        <v>54</v>
      </c>
      <c r="I44" s="17">
        <v>4</v>
      </c>
      <c r="J44" s="17">
        <v>3</v>
      </c>
      <c r="K44" s="17">
        <v>5</v>
      </c>
      <c r="L44" s="17">
        <v>4</v>
      </c>
      <c r="M44" s="14" t="s">
        <v>59</v>
      </c>
      <c r="N44" s="14" t="s">
        <v>43</v>
      </c>
      <c r="O44" s="14" t="s">
        <v>35</v>
      </c>
      <c r="P44" s="14" t="s">
        <v>67</v>
      </c>
      <c r="Q44" s="14" t="s">
        <v>28</v>
      </c>
    </row>
    <row r="45" spans="1:17">
      <c r="A45" s="14" t="s">
        <v>147</v>
      </c>
      <c r="B45" s="14" t="s">
        <v>18</v>
      </c>
      <c r="C45" s="14" t="s">
        <v>19</v>
      </c>
      <c r="D45" s="14" t="s">
        <v>31</v>
      </c>
      <c r="E45" s="14" t="s">
        <v>21</v>
      </c>
      <c r="F45" s="16">
        <v>9.1</v>
      </c>
      <c r="G45" s="14" t="s">
        <v>148</v>
      </c>
      <c r="H45" s="14" t="s">
        <v>94</v>
      </c>
      <c r="I45" s="17">
        <v>3</v>
      </c>
      <c r="J45" s="17">
        <v>3</v>
      </c>
      <c r="K45" s="17">
        <v>5</v>
      </c>
      <c r="L45" s="17">
        <v>4</v>
      </c>
      <c r="M45" s="14" t="s">
        <v>42</v>
      </c>
      <c r="N45" s="14" t="s">
        <v>55</v>
      </c>
      <c r="O45" s="14" t="s">
        <v>48</v>
      </c>
      <c r="P45" s="14" t="s">
        <v>67</v>
      </c>
      <c r="Q45" s="14" t="s">
        <v>28</v>
      </c>
    </row>
    <row r="46" spans="1:17">
      <c r="A46" s="14" t="s">
        <v>149</v>
      </c>
      <c r="B46" s="14" t="s">
        <v>51</v>
      </c>
      <c r="C46" s="14" t="s">
        <v>79</v>
      </c>
      <c r="D46" s="14" t="s">
        <v>31</v>
      </c>
      <c r="E46" s="14" t="s">
        <v>32</v>
      </c>
      <c r="F46" s="16">
        <v>3.9</v>
      </c>
      <c r="G46" s="14" t="s">
        <v>150</v>
      </c>
      <c r="H46" s="14" t="s">
        <v>23</v>
      </c>
      <c r="I46" s="17">
        <v>3</v>
      </c>
      <c r="J46" s="17">
        <v>4</v>
      </c>
      <c r="K46" s="17">
        <v>3</v>
      </c>
      <c r="L46" s="17">
        <v>4</v>
      </c>
      <c r="M46" s="14" t="s">
        <v>66</v>
      </c>
      <c r="N46" s="14" t="s">
        <v>63</v>
      </c>
      <c r="O46" s="14" t="s">
        <v>35</v>
      </c>
      <c r="P46" s="14" t="s">
        <v>28</v>
      </c>
      <c r="Q46" s="14" t="s">
        <v>28</v>
      </c>
    </row>
    <row r="47" spans="1:17">
      <c r="A47" s="14" t="s">
        <v>151</v>
      </c>
      <c r="B47" s="14" t="s">
        <v>18</v>
      </c>
      <c r="C47" s="14" t="s">
        <v>79</v>
      </c>
      <c r="D47" s="14" t="s">
        <v>20</v>
      </c>
      <c r="E47" s="14" t="s">
        <v>21</v>
      </c>
      <c r="F47" s="16">
        <v>7.1</v>
      </c>
      <c r="G47" s="14" t="s">
        <v>152</v>
      </c>
      <c r="H47" s="14" t="s">
        <v>41</v>
      </c>
      <c r="I47" s="17">
        <v>4</v>
      </c>
      <c r="J47" s="17">
        <v>4</v>
      </c>
      <c r="K47" s="17">
        <v>4</v>
      </c>
      <c r="L47" s="17">
        <v>4</v>
      </c>
      <c r="M47" s="14" t="s">
        <v>66</v>
      </c>
      <c r="N47" s="14" t="s">
        <v>77</v>
      </c>
      <c r="O47" s="14" t="s">
        <v>26</v>
      </c>
      <c r="P47" s="14" t="s">
        <v>67</v>
      </c>
      <c r="Q47" s="14" t="s">
        <v>28</v>
      </c>
    </row>
    <row r="48" ht="27" spans="1:17">
      <c r="A48" s="14" t="s">
        <v>153</v>
      </c>
      <c r="B48" s="14" t="s">
        <v>51</v>
      </c>
      <c r="C48" s="14" t="s">
        <v>38</v>
      </c>
      <c r="D48" s="14" t="s">
        <v>31</v>
      </c>
      <c r="E48" s="14" t="s">
        <v>21</v>
      </c>
      <c r="F48" s="16">
        <v>6.9</v>
      </c>
      <c r="G48" s="14" t="s">
        <v>154</v>
      </c>
      <c r="H48" s="14" t="s">
        <v>54</v>
      </c>
      <c r="I48" s="17">
        <v>4</v>
      </c>
      <c r="J48" s="17">
        <v>4</v>
      </c>
      <c r="K48" s="17">
        <v>3</v>
      </c>
      <c r="L48" s="17">
        <v>4</v>
      </c>
      <c r="M48" s="14" t="s">
        <v>59</v>
      </c>
      <c r="N48" s="14" t="s">
        <v>63</v>
      </c>
      <c r="O48" s="14" t="s">
        <v>48</v>
      </c>
      <c r="P48" s="14" t="s">
        <v>28</v>
      </c>
      <c r="Q48" s="14" t="s">
        <v>28</v>
      </c>
    </row>
    <row r="49" spans="1:17">
      <c r="A49" s="14" t="s">
        <v>155</v>
      </c>
      <c r="B49" s="14" t="s">
        <v>30</v>
      </c>
      <c r="C49" s="14" t="s">
        <v>52</v>
      </c>
      <c r="D49" s="14" t="s">
        <v>31</v>
      </c>
      <c r="E49" s="14" t="s">
        <v>32</v>
      </c>
      <c r="F49" s="16">
        <v>4.5</v>
      </c>
      <c r="G49" s="14" t="s">
        <v>156</v>
      </c>
      <c r="H49" s="14" t="s">
        <v>23</v>
      </c>
      <c r="I49" s="17">
        <v>4</v>
      </c>
      <c r="J49" s="17">
        <v>4</v>
      </c>
      <c r="K49" s="17">
        <v>4</v>
      </c>
      <c r="L49" s="17">
        <v>4</v>
      </c>
      <c r="M49" s="14" t="s">
        <v>42</v>
      </c>
      <c r="N49" s="14" t="s">
        <v>25</v>
      </c>
      <c r="O49" s="14" t="s">
        <v>48</v>
      </c>
      <c r="P49" s="14" t="s">
        <v>28</v>
      </c>
      <c r="Q49" s="14" t="s">
        <v>28</v>
      </c>
    </row>
    <row r="50" spans="1:17">
      <c r="A50" s="14" t="s">
        <v>157</v>
      </c>
      <c r="B50" s="14" t="s">
        <v>30</v>
      </c>
      <c r="C50" s="14" t="s">
        <v>79</v>
      </c>
      <c r="D50" s="14" t="s">
        <v>20</v>
      </c>
      <c r="E50" s="14" t="s">
        <v>32</v>
      </c>
      <c r="F50" s="16">
        <v>5</v>
      </c>
      <c r="G50" s="14" t="s">
        <v>158</v>
      </c>
      <c r="H50" s="14" t="s">
        <v>54</v>
      </c>
      <c r="I50" s="17">
        <v>5</v>
      </c>
      <c r="J50" s="17">
        <v>2</v>
      </c>
      <c r="K50" s="17">
        <v>4</v>
      </c>
      <c r="L50" s="17">
        <v>3</v>
      </c>
      <c r="M50" s="14" t="s">
        <v>66</v>
      </c>
      <c r="N50" s="14" t="s">
        <v>114</v>
      </c>
      <c r="O50" s="14" t="s">
        <v>35</v>
      </c>
      <c r="P50" s="14" t="s">
        <v>49</v>
      </c>
      <c r="Q50" s="14" t="s">
        <v>28</v>
      </c>
    </row>
    <row r="51" spans="1:17">
      <c r="A51" s="14" t="s">
        <v>159</v>
      </c>
      <c r="B51" s="14" t="s">
        <v>30</v>
      </c>
      <c r="C51" s="14" t="s">
        <v>52</v>
      </c>
      <c r="D51" s="14" t="s">
        <v>20</v>
      </c>
      <c r="E51" s="14" t="s">
        <v>32</v>
      </c>
      <c r="F51" s="16">
        <v>5.9</v>
      </c>
      <c r="G51" s="14" t="s">
        <v>160</v>
      </c>
      <c r="H51" s="14" t="s">
        <v>23</v>
      </c>
      <c r="I51" s="17">
        <v>4</v>
      </c>
      <c r="J51" s="17">
        <v>4</v>
      </c>
      <c r="K51" s="17">
        <v>4</v>
      </c>
      <c r="L51" s="17">
        <v>2</v>
      </c>
      <c r="M51" s="14" t="s">
        <v>59</v>
      </c>
      <c r="N51" s="14" t="s">
        <v>25</v>
      </c>
      <c r="O51" s="14" t="s">
        <v>80</v>
      </c>
      <c r="P51" s="14" t="s">
        <v>44</v>
      </c>
      <c r="Q51" s="14" t="s">
        <v>28</v>
      </c>
    </row>
    <row r="52" spans="1:17">
      <c r="A52" s="14" t="s">
        <v>161</v>
      </c>
      <c r="B52" s="14" t="s">
        <v>37</v>
      </c>
      <c r="C52" s="14" t="s">
        <v>38</v>
      </c>
      <c r="D52" s="14" t="s">
        <v>20</v>
      </c>
      <c r="E52" s="14" t="s">
        <v>32</v>
      </c>
      <c r="F52" s="16">
        <v>5.7</v>
      </c>
      <c r="G52" s="14" t="s">
        <v>113</v>
      </c>
      <c r="H52" s="14" t="s">
        <v>94</v>
      </c>
      <c r="I52" s="17">
        <v>4</v>
      </c>
      <c r="J52" s="17">
        <v>3</v>
      </c>
      <c r="K52" s="17">
        <v>3</v>
      </c>
      <c r="L52" s="17">
        <v>4</v>
      </c>
      <c r="M52" s="14" t="s">
        <v>42</v>
      </c>
      <c r="N52" s="14" t="s">
        <v>47</v>
      </c>
      <c r="O52" s="14" t="s">
        <v>85</v>
      </c>
      <c r="P52" s="14" t="s">
        <v>28</v>
      </c>
      <c r="Q52" s="14" t="s">
        <v>28</v>
      </c>
    </row>
    <row r="53" spans="1:17">
      <c r="A53" s="14" t="s">
        <v>162</v>
      </c>
      <c r="B53" s="14" t="s">
        <v>30</v>
      </c>
      <c r="C53" s="14" t="s">
        <v>52</v>
      </c>
      <c r="D53" s="14" t="s">
        <v>31</v>
      </c>
      <c r="E53" s="14" t="s">
        <v>32</v>
      </c>
      <c r="F53" s="16">
        <v>3.9</v>
      </c>
      <c r="G53" s="14" t="s">
        <v>163</v>
      </c>
      <c r="H53" s="14" t="s">
        <v>41</v>
      </c>
      <c r="I53" s="17">
        <v>3</v>
      </c>
      <c r="J53" s="17">
        <v>3</v>
      </c>
      <c r="K53" s="17">
        <v>4</v>
      </c>
      <c r="L53" s="17">
        <v>4</v>
      </c>
      <c r="M53" s="14" t="s">
        <v>24</v>
      </c>
      <c r="N53" s="14" t="s">
        <v>43</v>
      </c>
      <c r="O53" s="14" t="s">
        <v>48</v>
      </c>
      <c r="P53" s="14" t="s">
        <v>28</v>
      </c>
      <c r="Q53" s="14" t="s">
        <v>28</v>
      </c>
    </row>
    <row r="54" spans="1:17">
      <c r="A54" s="14" t="s">
        <v>164</v>
      </c>
      <c r="B54" s="14" t="s">
        <v>18</v>
      </c>
      <c r="C54" s="14" t="s">
        <v>38</v>
      </c>
      <c r="D54" s="14" t="s">
        <v>31</v>
      </c>
      <c r="E54" s="14" t="s">
        <v>21</v>
      </c>
      <c r="F54" s="16">
        <v>9.3</v>
      </c>
      <c r="G54" s="14" t="s">
        <v>165</v>
      </c>
      <c r="H54" s="14" t="s">
        <v>94</v>
      </c>
      <c r="I54" s="17">
        <v>5</v>
      </c>
      <c r="J54" s="17">
        <v>4</v>
      </c>
      <c r="K54" s="17">
        <v>5</v>
      </c>
      <c r="L54" s="17">
        <v>4</v>
      </c>
      <c r="M54" s="14" t="s">
        <v>62</v>
      </c>
      <c r="N54" s="14" t="s">
        <v>77</v>
      </c>
      <c r="O54" s="14" t="s">
        <v>85</v>
      </c>
      <c r="P54" s="14" t="s">
        <v>49</v>
      </c>
      <c r="Q54" s="14" t="s">
        <v>28</v>
      </c>
    </row>
    <row r="55" spans="1:17">
      <c r="A55" s="14" t="s">
        <v>166</v>
      </c>
      <c r="B55" s="14" t="s">
        <v>30</v>
      </c>
      <c r="C55" s="14" t="s">
        <v>79</v>
      </c>
      <c r="D55" s="14" t="s">
        <v>31</v>
      </c>
      <c r="E55" s="14" t="s">
        <v>32</v>
      </c>
      <c r="F55" s="16">
        <v>2.8</v>
      </c>
      <c r="G55" s="14" t="s">
        <v>167</v>
      </c>
      <c r="H55" s="14" t="s">
        <v>23</v>
      </c>
      <c r="I55" s="17">
        <v>3</v>
      </c>
      <c r="J55" s="17">
        <v>3</v>
      </c>
      <c r="K55" s="17">
        <v>3</v>
      </c>
      <c r="L55" s="17">
        <v>4</v>
      </c>
      <c r="M55" s="14" t="s">
        <v>66</v>
      </c>
      <c r="N55" s="14" t="s">
        <v>63</v>
      </c>
      <c r="O55" s="14" t="s">
        <v>48</v>
      </c>
      <c r="P55" s="14" t="s">
        <v>117</v>
      </c>
      <c r="Q55" s="14" t="s">
        <v>28</v>
      </c>
    </row>
    <row r="56" spans="1:17">
      <c r="A56" s="14" t="s">
        <v>168</v>
      </c>
      <c r="B56" s="14" t="s">
        <v>51</v>
      </c>
      <c r="C56" s="14" t="s">
        <v>79</v>
      </c>
      <c r="D56" s="14" t="s">
        <v>20</v>
      </c>
      <c r="E56" s="14" t="s">
        <v>21</v>
      </c>
      <c r="F56" s="16">
        <v>6.1</v>
      </c>
      <c r="G56" s="14" t="s">
        <v>169</v>
      </c>
      <c r="H56" s="14" t="s">
        <v>100</v>
      </c>
      <c r="I56" s="17">
        <v>5</v>
      </c>
      <c r="J56" s="17">
        <v>5</v>
      </c>
      <c r="K56" s="17">
        <v>4</v>
      </c>
      <c r="L56" s="17">
        <v>4</v>
      </c>
      <c r="M56" s="14" t="s">
        <v>59</v>
      </c>
      <c r="N56" s="14" t="s">
        <v>55</v>
      </c>
      <c r="O56" s="14" t="s">
        <v>48</v>
      </c>
      <c r="P56" s="14" t="s">
        <v>28</v>
      </c>
      <c r="Q56" s="14" t="s">
        <v>28</v>
      </c>
    </row>
    <row r="57" spans="1:17">
      <c r="A57" s="14" t="s">
        <v>170</v>
      </c>
      <c r="B57" s="14" t="s">
        <v>51</v>
      </c>
      <c r="C57" s="14" t="s">
        <v>38</v>
      </c>
      <c r="D57" s="14" t="s">
        <v>31</v>
      </c>
      <c r="E57" s="14" t="s">
        <v>32</v>
      </c>
      <c r="F57" s="16">
        <v>5.2</v>
      </c>
      <c r="G57" s="14" t="s">
        <v>134</v>
      </c>
      <c r="H57" s="14" t="s">
        <v>23</v>
      </c>
      <c r="I57" s="17">
        <v>4</v>
      </c>
      <c r="J57" s="17">
        <v>2</v>
      </c>
      <c r="K57" s="17">
        <v>4</v>
      </c>
      <c r="L57" s="17">
        <v>4</v>
      </c>
      <c r="M57" s="14" t="s">
        <v>24</v>
      </c>
      <c r="N57" s="14" t="s">
        <v>63</v>
      </c>
      <c r="O57" s="14" t="s">
        <v>85</v>
      </c>
      <c r="P57" s="14" t="s">
        <v>44</v>
      </c>
      <c r="Q57" s="14" t="s">
        <v>28</v>
      </c>
    </row>
    <row r="58" spans="1:17">
      <c r="A58" s="14" t="s">
        <v>171</v>
      </c>
      <c r="B58" s="14" t="s">
        <v>51</v>
      </c>
      <c r="C58" s="14" t="s">
        <v>19</v>
      </c>
      <c r="D58" s="14" t="s">
        <v>31</v>
      </c>
      <c r="E58" s="14" t="s">
        <v>32</v>
      </c>
      <c r="F58" s="16">
        <v>4.9</v>
      </c>
      <c r="G58" s="14" t="s">
        <v>172</v>
      </c>
      <c r="H58" s="14" t="s">
        <v>23</v>
      </c>
      <c r="I58" s="17">
        <v>4</v>
      </c>
      <c r="J58" s="17">
        <v>4</v>
      </c>
      <c r="K58" s="17">
        <v>3</v>
      </c>
      <c r="L58" s="17">
        <v>3</v>
      </c>
      <c r="M58" s="14" t="s">
        <v>62</v>
      </c>
      <c r="N58" s="14" t="s">
        <v>25</v>
      </c>
      <c r="O58" s="14" t="s">
        <v>26</v>
      </c>
      <c r="P58" s="14" t="s">
        <v>130</v>
      </c>
      <c r="Q58" s="14" t="s">
        <v>28</v>
      </c>
    </row>
    <row r="59" spans="1:17">
      <c r="A59" s="14" t="s">
        <v>173</v>
      </c>
      <c r="B59" s="14" t="s">
        <v>30</v>
      </c>
      <c r="C59" s="14" t="s">
        <v>52</v>
      </c>
      <c r="D59" s="14" t="s">
        <v>31</v>
      </c>
      <c r="E59" s="14" t="s">
        <v>39</v>
      </c>
      <c r="F59" s="16">
        <v>1.3</v>
      </c>
      <c r="G59" s="14" t="s">
        <v>99</v>
      </c>
      <c r="H59" s="14" t="s">
        <v>23</v>
      </c>
      <c r="I59" s="17">
        <v>3</v>
      </c>
      <c r="J59" s="17">
        <v>4</v>
      </c>
      <c r="K59" s="17">
        <v>2</v>
      </c>
      <c r="L59" s="17">
        <v>3</v>
      </c>
      <c r="M59" s="14" t="s">
        <v>42</v>
      </c>
      <c r="N59" s="14" t="s">
        <v>63</v>
      </c>
      <c r="O59" s="14" t="s">
        <v>35</v>
      </c>
      <c r="P59" s="14" t="s">
        <v>117</v>
      </c>
      <c r="Q59" s="14" t="s">
        <v>28</v>
      </c>
    </row>
    <row r="60" spans="1:17">
      <c r="A60" s="14" t="s">
        <v>174</v>
      </c>
      <c r="B60" s="14" t="s">
        <v>37</v>
      </c>
      <c r="C60" s="14" t="s">
        <v>79</v>
      </c>
      <c r="D60" s="14" t="s">
        <v>31</v>
      </c>
      <c r="E60" s="14" t="s">
        <v>39</v>
      </c>
      <c r="F60" s="16">
        <v>2.3</v>
      </c>
      <c r="G60" s="14" t="s">
        <v>175</v>
      </c>
      <c r="H60" s="14" t="s">
        <v>23</v>
      </c>
      <c r="I60" s="17">
        <v>3</v>
      </c>
      <c r="J60" s="17">
        <v>3</v>
      </c>
      <c r="K60" s="17">
        <v>3</v>
      </c>
      <c r="L60" s="17">
        <v>3</v>
      </c>
      <c r="M60" s="14" t="s">
        <v>62</v>
      </c>
      <c r="N60" s="14" t="s">
        <v>114</v>
      </c>
      <c r="O60" s="14" t="s">
        <v>35</v>
      </c>
      <c r="P60" s="14" t="s">
        <v>81</v>
      </c>
      <c r="Q60" s="14" t="s">
        <v>28</v>
      </c>
    </row>
    <row r="61" spans="1:17">
      <c r="A61" s="14" t="s">
        <v>176</v>
      </c>
      <c r="B61" s="14" t="s">
        <v>51</v>
      </c>
      <c r="C61" s="14" t="s">
        <v>38</v>
      </c>
      <c r="D61" s="14" t="s">
        <v>31</v>
      </c>
      <c r="E61" s="14" t="s">
        <v>96</v>
      </c>
      <c r="F61" s="16">
        <v>1.5</v>
      </c>
      <c r="G61" s="14" t="s">
        <v>177</v>
      </c>
      <c r="H61" s="14" t="s">
        <v>100</v>
      </c>
      <c r="I61" s="17">
        <v>3</v>
      </c>
      <c r="J61" s="17">
        <v>3</v>
      </c>
      <c r="K61" s="17">
        <v>2</v>
      </c>
      <c r="L61" s="17">
        <v>3</v>
      </c>
      <c r="M61" s="14" t="s">
        <v>66</v>
      </c>
      <c r="N61" s="14" t="s">
        <v>55</v>
      </c>
      <c r="O61" s="14" t="s">
        <v>35</v>
      </c>
      <c r="P61" s="14" t="s">
        <v>67</v>
      </c>
      <c r="Q61" s="14" t="s">
        <v>28</v>
      </c>
    </row>
    <row r="62" spans="1:17">
      <c r="A62" s="14" t="s">
        <v>178</v>
      </c>
      <c r="B62" s="14" t="s">
        <v>18</v>
      </c>
      <c r="C62" s="14" t="s">
        <v>19</v>
      </c>
      <c r="D62" s="14" t="s">
        <v>20</v>
      </c>
      <c r="E62" s="14" t="s">
        <v>21</v>
      </c>
      <c r="F62" s="16">
        <v>5.2</v>
      </c>
      <c r="G62" s="14" t="s">
        <v>169</v>
      </c>
      <c r="H62" s="14" t="s">
        <v>54</v>
      </c>
      <c r="I62" s="17">
        <v>4</v>
      </c>
      <c r="J62" s="17">
        <v>4</v>
      </c>
      <c r="K62" s="17">
        <v>2</v>
      </c>
      <c r="L62" s="17">
        <v>5</v>
      </c>
      <c r="M62" s="14" t="s">
        <v>59</v>
      </c>
      <c r="N62" s="14" t="s">
        <v>55</v>
      </c>
      <c r="O62" s="14" t="s">
        <v>80</v>
      </c>
      <c r="P62" s="14" t="s">
        <v>89</v>
      </c>
      <c r="Q62" s="14" t="s">
        <v>28</v>
      </c>
    </row>
    <row r="63" spans="1:17">
      <c r="A63" s="14" t="s">
        <v>179</v>
      </c>
      <c r="B63" s="14" t="s">
        <v>51</v>
      </c>
      <c r="C63" s="14" t="s">
        <v>19</v>
      </c>
      <c r="D63" s="14" t="s">
        <v>20</v>
      </c>
      <c r="E63" s="14" t="s">
        <v>21</v>
      </c>
      <c r="F63" s="16">
        <v>11.3</v>
      </c>
      <c r="G63" s="14" t="s">
        <v>180</v>
      </c>
      <c r="H63" s="14" t="s">
        <v>41</v>
      </c>
      <c r="I63" s="17">
        <v>4</v>
      </c>
      <c r="J63" s="17">
        <v>3</v>
      </c>
      <c r="K63" s="17">
        <v>4</v>
      </c>
      <c r="L63" s="17">
        <v>5</v>
      </c>
      <c r="M63" s="14" t="s">
        <v>42</v>
      </c>
      <c r="N63" s="14" t="s">
        <v>63</v>
      </c>
      <c r="O63" s="14" t="s">
        <v>35</v>
      </c>
      <c r="P63" s="14" t="s">
        <v>49</v>
      </c>
      <c r="Q63" s="14" t="s">
        <v>28</v>
      </c>
    </row>
    <row r="64" spans="1:17">
      <c r="A64" s="14" t="s">
        <v>181</v>
      </c>
      <c r="B64" s="14" t="s">
        <v>30</v>
      </c>
      <c r="C64" s="14" t="s">
        <v>19</v>
      </c>
      <c r="D64" s="14" t="s">
        <v>31</v>
      </c>
      <c r="E64" s="14" t="s">
        <v>39</v>
      </c>
      <c r="F64" s="16">
        <v>1.4</v>
      </c>
      <c r="G64" s="14" t="s">
        <v>182</v>
      </c>
      <c r="H64" s="14" t="s">
        <v>23</v>
      </c>
      <c r="I64" s="17">
        <v>3</v>
      </c>
      <c r="J64" s="17">
        <v>3</v>
      </c>
      <c r="K64" s="17">
        <v>2</v>
      </c>
      <c r="L64" s="17">
        <v>3</v>
      </c>
      <c r="M64" s="14" t="s">
        <v>66</v>
      </c>
      <c r="N64" s="14" t="s">
        <v>43</v>
      </c>
      <c r="O64" s="14" t="s">
        <v>35</v>
      </c>
      <c r="P64" s="14" t="s">
        <v>130</v>
      </c>
      <c r="Q64" s="14" t="s">
        <v>28</v>
      </c>
    </row>
    <row r="65" spans="1:17">
      <c r="A65" s="14" t="s">
        <v>183</v>
      </c>
      <c r="B65" s="14" t="s">
        <v>51</v>
      </c>
      <c r="C65" s="14" t="s">
        <v>57</v>
      </c>
      <c r="D65" s="14" t="s">
        <v>20</v>
      </c>
      <c r="E65" s="14" t="s">
        <v>39</v>
      </c>
      <c r="F65" s="16">
        <v>3</v>
      </c>
      <c r="G65" s="14" t="s">
        <v>184</v>
      </c>
      <c r="H65" s="14" t="s">
        <v>54</v>
      </c>
      <c r="I65" s="17">
        <v>4</v>
      </c>
      <c r="J65" s="17">
        <v>3</v>
      </c>
      <c r="K65" s="17">
        <v>3</v>
      </c>
      <c r="L65" s="17">
        <v>4</v>
      </c>
      <c r="M65" s="14" t="s">
        <v>66</v>
      </c>
      <c r="N65" s="14" t="s">
        <v>77</v>
      </c>
      <c r="O65" s="14" t="s">
        <v>48</v>
      </c>
      <c r="P65" s="14" t="s">
        <v>28</v>
      </c>
      <c r="Q65" s="14" t="s">
        <v>28</v>
      </c>
    </row>
    <row r="66" spans="1:17">
      <c r="A66" s="14" t="s">
        <v>185</v>
      </c>
      <c r="B66" s="14" t="s">
        <v>18</v>
      </c>
      <c r="C66" s="14" t="s">
        <v>79</v>
      </c>
      <c r="D66" s="14" t="s">
        <v>31</v>
      </c>
      <c r="E66" s="14" t="s">
        <v>87</v>
      </c>
      <c r="F66" s="16">
        <v>0.4</v>
      </c>
      <c r="G66" s="14" t="s">
        <v>93</v>
      </c>
      <c r="H66" s="14" t="s">
        <v>94</v>
      </c>
      <c r="I66" s="17">
        <v>2</v>
      </c>
      <c r="J66" s="17">
        <v>3</v>
      </c>
      <c r="K66" s="17">
        <v>3</v>
      </c>
      <c r="L66" s="17">
        <v>2</v>
      </c>
      <c r="M66" s="14" t="s">
        <v>42</v>
      </c>
      <c r="N66" s="14" t="s">
        <v>63</v>
      </c>
      <c r="O66" s="14" t="s">
        <v>26</v>
      </c>
      <c r="P66" s="14" t="s">
        <v>28</v>
      </c>
      <c r="Q66" s="14" t="s">
        <v>28</v>
      </c>
    </row>
    <row r="67" spans="1:17">
      <c r="A67" s="14" t="s">
        <v>186</v>
      </c>
      <c r="B67" s="14" t="s">
        <v>18</v>
      </c>
      <c r="C67" s="14" t="s">
        <v>52</v>
      </c>
      <c r="D67" s="14" t="s">
        <v>31</v>
      </c>
      <c r="E67" s="14" t="s">
        <v>32</v>
      </c>
      <c r="F67" s="16">
        <v>5.4</v>
      </c>
      <c r="G67" s="14" t="s">
        <v>187</v>
      </c>
      <c r="H67" s="14" t="s">
        <v>41</v>
      </c>
      <c r="I67" s="17">
        <v>5</v>
      </c>
      <c r="J67" s="17">
        <v>3</v>
      </c>
      <c r="K67" s="17">
        <v>4</v>
      </c>
      <c r="L67" s="17">
        <v>4</v>
      </c>
      <c r="M67" s="14" t="s">
        <v>42</v>
      </c>
      <c r="N67" s="14" t="s">
        <v>63</v>
      </c>
      <c r="O67" s="14" t="s">
        <v>48</v>
      </c>
      <c r="P67" s="14" t="s">
        <v>81</v>
      </c>
      <c r="Q67" s="14" t="s">
        <v>28</v>
      </c>
    </row>
    <row r="68" spans="1:17">
      <c r="A68" s="14" t="s">
        <v>188</v>
      </c>
      <c r="B68" s="14" t="s">
        <v>51</v>
      </c>
      <c r="C68" s="14" t="s">
        <v>19</v>
      </c>
      <c r="D68" s="14" t="s">
        <v>31</v>
      </c>
      <c r="E68" s="14" t="s">
        <v>32</v>
      </c>
      <c r="F68" s="16">
        <v>6</v>
      </c>
      <c r="G68" s="14" t="s">
        <v>189</v>
      </c>
      <c r="H68" s="14" t="s">
        <v>94</v>
      </c>
      <c r="I68" s="17">
        <v>4</v>
      </c>
      <c r="J68" s="17">
        <v>3</v>
      </c>
      <c r="K68" s="17">
        <v>4</v>
      </c>
      <c r="L68" s="17">
        <v>4</v>
      </c>
      <c r="M68" s="14" t="s">
        <v>42</v>
      </c>
      <c r="N68" s="14" t="s">
        <v>114</v>
      </c>
      <c r="O68" s="14" t="s">
        <v>26</v>
      </c>
      <c r="P68" s="14" t="s">
        <v>117</v>
      </c>
      <c r="Q68" s="14" t="s">
        <v>28</v>
      </c>
    </row>
    <row r="69" spans="1:17">
      <c r="A69" s="14" t="s">
        <v>190</v>
      </c>
      <c r="B69" s="14" t="s">
        <v>30</v>
      </c>
      <c r="C69" s="14" t="s">
        <v>19</v>
      </c>
      <c r="D69" s="14" t="s">
        <v>20</v>
      </c>
      <c r="E69" s="14" t="s">
        <v>32</v>
      </c>
      <c r="F69" s="16">
        <v>5.3</v>
      </c>
      <c r="G69" s="14" t="s">
        <v>191</v>
      </c>
      <c r="H69" s="14" t="s">
        <v>94</v>
      </c>
      <c r="I69" s="17">
        <v>3</v>
      </c>
      <c r="J69" s="17">
        <v>4</v>
      </c>
      <c r="K69" s="17">
        <v>3</v>
      </c>
      <c r="L69" s="17">
        <v>5</v>
      </c>
      <c r="M69" s="14" t="s">
        <v>62</v>
      </c>
      <c r="N69" s="14" t="s">
        <v>77</v>
      </c>
      <c r="O69" s="14" t="s">
        <v>85</v>
      </c>
      <c r="P69" s="14" t="s">
        <v>28</v>
      </c>
      <c r="Q69" s="14" t="s">
        <v>28</v>
      </c>
    </row>
    <row r="70" spans="1:17">
      <c r="A70" s="14" t="s">
        <v>192</v>
      </c>
      <c r="B70" s="14" t="s">
        <v>51</v>
      </c>
      <c r="C70" s="14" t="s">
        <v>19</v>
      </c>
      <c r="D70" s="14" t="s">
        <v>20</v>
      </c>
      <c r="E70" s="14" t="s">
        <v>39</v>
      </c>
      <c r="F70" s="16">
        <v>3.5</v>
      </c>
      <c r="G70" s="14" t="s">
        <v>193</v>
      </c>
      <c r="H70" s="14" t="s">
        <v>54</v>
      </c>
      <c r="I70" s="17">
        <v>4</v>
      </c>
      <c r="J70" s="17">
        <v>3</v>
      </c>
      <c r="K70" s="17">
        <v>3</v>
      </c>
      <c r="L70" s="17">
        <v>4</v>
      </c>
      <c r="M70" s="14" t="s">
        <v>84</v>
      </c>
      <c r="N70" s="14" t="s">
        <v>55</v>
      </c>
      <c r="O70" s="14" t="s">
        <v>26</v>
      </c>
      <c r="P70" s="14" t="s">
        <v>27</v>
      </c>
      <c r="Q70" s="14" t="s">
        <v>28</v>
      </c>
    </row>
    <row r="71" spans="1:17">
      <c r="A71" s="14" t="s">
        <v>194</v>
      </c>
      <c r="B71" s="14" t="s">
        <v>51</v>
      </c>
      <c r="C71" s="14" t="s">
        <v>19</v>
      </c>
      <c r="D71" s="14" t="s">
        <v>31</v>
      </c>
      <c r="E71" s="14" t="s">
        <v>32</v>
      </c>
      <c r="F71" s="16">
        <v>3.2</v>
      </c>
      <c r="G71" s="14" t="s">
        <v>195</v>
      </c>
      <c r="H71" s="14" t="s">
        <v>41</v>
      </c>
      <c r="I71" s="17">
        <v>3</v>
      </c>
      <c r="J71" s="17">
        <v>3</v>
      </c>
      <c r="K71" s="17">
        <v>3</v>
      </c>
      <c r="L71" s="17">
        <v>5</v>
      </c>
      <c r="M71" s="14" t="s">
        <v>59</v>
      </c>
      <c r="N71" s="14" t="s">
        <v>43</v>
      </c>
      <c r="O71" s="14" t="s">
        <v>80</v>
      </c>
      <c r="P71" s="14" t="s">
        <v>28</v>
      </c>
      <c r="Q71" s="14" t="s">
        <v>28</v>
      </c>
    </row>
    <row r="72" spans="1:17">
      <c r="A72" s="14" t="s">
        <v>196</v>
      </c>
      <c r="B72" s="14" t="s">
        <v>18</v>
      </c>
      <c r="C72" s="14" t="s">
        <v>52</v>
      </c>
      <c r="D72" s="14" t="s">
        <v>20</v>
      </c>
      <c r="E72" s="14" t="s">
        <v>32</v>
      </c>
      <c r="F72" s="16">
        <v>4.3</v>
      </c>
      <c r="G72" s="14" t="s">
        <v>197</v>
      </c>
      <c r="H72" s="14" t="s">
        <v>34</v>
      </c>
      <c r="I72" s="17">
        <v>4</v>
      </c>
      <c r="J72" s="17">
        <v>3</v>
      </c>
      <c r="K72" s="17">
        <v>5</v>
      </c>
      <c r="L72" s="17">
        <v>4</v>
      </c>
      <c r="M72" s="14" t="s">
        <v>59</v>
      </c>
      <c r="N72" s="14" t="s">
        <v>63</v>
      </c>
      <c r="O72" s="14" t="s">
        <v>35</v>
      </c>
      <c r="P72" s="14" t="s">
        <v>28</v>
      </c>
      <c r="Q72" s="14" t="s">
        <v>28</v>
      </c>
    </row>
    <row r="73" spans="1:17">
      <c r="A73" s="14" t="s">
        <v>198</v>
      </c>
      <c r="B73" s="14" t="s">
        <v>51</v>
      </c>
      <c r="C73" s="14" t="s">
        <v>79</v>
      </c>
      <c r="D73" s="14" t="s">
        <v>20</v>
      </c>
      <c r="E73" s="14" t="s">
        <v>39</v>
      </c>
      <c r="F73" s="16">
        <v>3</v>
      </c>
      <c r="G73" s="14" t="s">
        <v>184</v>
      </c>
      <c r="H73" s="14" t="s">
        <v>54</v>
      </c>
      <c r="I73" s="17">
        <v>3</v>
      </c>
      <c r="J73" s="17">
        <v>3</v>
      </c>
      <c r="K73" s="17">
        <v>3</v>
      </c>
      <c r="L73" s="17">
        <v>3</v>
      </c>
      <c r="M73" s="14" t="s">
        <v>24</v>
      </c>
      <c r="N73" s="14" t="s">
        <v>55</v>
      </c>
      <c r="O73" s="14" t="s">
        <v>48</v>
      </c>
      <c r="P73" s="14" t="s">
        <v>28</v>
      </c>
      <c r="Q73" s="14" t="s">
        <v>28</v>
      </c>
    </row>
    <row r="74" spans="1:17">
      <c r="A74" s="14" t="s">
        <v>199</v>
      </c>
      <c r="B74" s="14" t="s">
        <v>51</v>
      </c>
      <c r="C74" s="14" t="s">
        <v>79</v>
      </c>
      <c r="D74" s="14" t="s">
        <v>31</v>
      </c>
      <c r="E74" s="14" t="s">
        <v>87</v>
      </c>
      <c r="F74" s="16">
        <v>0.3</v>
      </c>
      <c r="G74" s="14" t="s">
        <v>200</v>
      </c>
      <c r="H74" s="14" t="s">
        <v>94</v>
      </c>
      <c r="I74" s="17">
        <v>2</v>
      </c>
      <c r="J74" s="17">
        <v>3</v>
      </c>
      <c r="K74" s="17">
        <v>2</v>
      </c>
      <c r="L74" s="17">
        <v>2</v>
      </c>
      <c r="M74" s="14" t="s">
        <v>62</v>
      </c>
      <c r="N74" s="14" t="s">
        <v>114</v>
      </c>
      <c r="O74" s="14" t="s">
        <v>48</v>
      </c>
      <c r="P74" s="14" t="s">
        <v>28</v>
      </c>
      <c r="Q74" s="14" t="s">
        <v>28</v>
      </c>
    </row>
    <row r="75" spans="1:17">
      <c r="A75" s="14" t="s">
        <v>201</v>
      </c>
      <c r="B75" s="14" t="s">
        <v>37</v>
      </c>
      <c r="C75" s="14" t="s">
        <v>38</v>
      </c>
      <c r="D75" s="14" t="s">
        <v>31</v>
      </c>
      <c r="E75" s="14" t="s">
        <v>21</v>
      </c>
      <c r="F75" s="16">
        <v>5.4</v>
      </c>
      <c r="G75" s="14" t="s">
        <v>202</v>
      </c>
      <c r="H75" s="14" t="s">
        <v>100</v>
      </c>
      <c r="I75" s="17">
        <v>4</v>
      </c>
      <c r="J75" s="17">
        <v>4</v>
      </c>
      <c r="K75" s="17">
        <v>4</v>
      </c>
      <c r="L75" s="17">
        <v>5</v>
      </c>
      <c r="M75" s="14" t="s">
        <v>42</v>
      </c>
      <c r="N75" s="14" t="s">
        <v>77</v>
      </c>
      <c r="O75" s="14" t="s">
        <v>26</v>
      </c>
      <c r="P75" s="14" t="s">
        <v>67</v>
      </c>
      <c r="Q75" s="14" t="s">
        <v>28</v>
      </c>
    </row>
    <row r="76" spans="1:17">
      <c r="A76" s="14" t="s">
        <v>203</v>
      </c>
      <c r="B76" s="14" t="s">
        <v>51</v>
      </c>
      <c r="C76" s="14" t="s">
        <v>79</v>
      </c>
      <c r="D76" s="14" t="s">
        <v>20</v>
      </c>
      <c r="E76" s="14" t="s">
        <v>39</v>
      </c>
      <c r="F76" s="16">
        <v>3.3</v>
      </c>
      <c r="G76" s="14" t="s">
        <v>97</v>
      </c>
      <c r="H76" s="14" t="s">
        <v>41</v>
      </c>
      <c r="I76" s="17">
        <v>5</v>
      </c>
      <c r="J76" s="17">
        <v>3</v>
      </c>
      <c r="K76" s="17">
        <v>3</v>
      </c>
      <c r="L76" s="17">
        <v>4</v>
      </c>
      <c r="M76" s="14" t="s">
        <v>84</v>
      </c>
      <c r="N76" s="14" t="s">
        <v>47</v>
      </c>
      <c r="O76" s="14" t="s">
        <v>48</v>
      </c>
      <c r="P76" s="14" t="s">
        <v>28</v>
      </c>
      <c r="Q76" s="14" t="s">
        <v>28</v>
      </c>
    </row>
    <row r="77" spans="1:17">
      <c r="A77" s="14" t="s">
        <v>204</v>
      </c>
      <c r="B77" s="14" t="s">
        <v>30</v>
      </c>
      <c r="C77" s="14" t="s">
        <v>38</v>
      </c>
      <c r="D77" s="14" t="s">
        <v>20</v>
      </c>
      <c r="E77" s="14" t="s">
        <v>21</v>
      </c>
      <c r="F77" s="16">
        <v>7.8</v>
      </c>
      <c r="G77" s="14" t="s">
        <v>61</v>
      </c>
      <c r="H77" s="14" t="s">
        <v>54</v>
      </c>
      <c r="I77" s="17">
        <v>4</v>
      </c>
      <c r="J77" s="17">
        <v>3</v>
      </c>
      <c r="K77" s="17">
        <v>4</v>
      </c>
      <c r="L77" s="17">
        <v>5</v>
      </c>
      <c r="M77" s="14" t="s">
        <v>84</v>
      </c>
      <c r="N77" s="14" t="s">
        <v>55</v>
      </c>
      <c r="O77" s="14" t="s">
        <v>35</v>
      </c>
      <c r="P77" s="14" t="s">
        <v>28</v>
      </c>
      <c r="Q77" s="14" t="s">
        <v>28</v>
      </c>
    </row>
    <row r="78" spans="1:17">
      <c r="A78" s="14" t="s">
        <v>205</v>
      </c>
      <c r="B78" s="14" t="s">
        <v>30</v>
      </c>
      <c r="C78" s="14" t="s">
        <v>38</v>
      </c>
      <c r="D78" s="14" t="s">
        <v>20</v>
      </c>
      <c r="E78" s="14" t="s">
        <v>21</v>
      </c>
      <c r="F78" s="16">
        <v>10.4</v>
      </c>
      <c r="G78" s="14" t="s">
        <v>206</v>
      </c>
      <c r="H78" s="14" t="s">
        <v>54</v>
      </c>
      <c r="I78" s="17">
        <v>4</v>
      </c>
      <c r="J78" s="17">
        <v>4</v>
      </c>
      <c r="K78" s="17">
        <v>2</v>
      </c>
      <c r="L78" s="17">
        <v>5</v>
      </c>
      <c r="M78" s="14" t="s">
        <v>66</v>
      </c>
      <c r="N78" s="14" t="s">
        <v>43</v>
      </c>
      <c r="O78" s="14" t="s">
        <v>85</v>
      </c>
      <c r="P78" s="14" t="s">
        <v>28</v>
      </c>
      <c r="Q78" s="14" t="s">
        <v>28</v>
      </c>
    </row>
    <row r="79" spans="1:17">
      <c r="A79" s="14" t="s">
        <v>207</v>
      </c>
      <c r="B79" s="14" t="s">
        <v>30</v>
      </c>
      <c r="C79" s="14" t="s">
        <v>38</v>
      </c>
      <c r="D79" s="14" t="s">
        <v>20</v>
      </c>
      <c r="E79" s="14" t="s">
        <v>87</v>
      </c>
      <c r="F79" s="16">
        <v>0.4</v>
      </c>
      <c r="G79" s="14" t="s">
        <v>93</v>
      </c>
      <c r="H79" s="14" t="s">
        <v>94</v>
      </c>
      <c r="I79" s="17">
        <v>3</v>
      </c>
      <c r="J79" s="17">
        <v>3</v>
      </c>
      <c r="K79" s="17">
        <v>3</v>
      </c>
      <c r="L79" s="17">
        <v>2</v>
      </c>
      <c r="M79" s="14" t="s">
        <v>59</v>
      </c>
      <c r="N79" s="14" t="s">
        <v>25</v>
      </c>
      <c r="O79" s="14" t="s">
        <v>48</v>
      </c>
      <c r="P79" s="14" t="s">
        <v>28</v>
      </c>
      <c r="Q79" s="14" t="s">
        <v>28</v>
      </c>
    </row>
    <row r="80" spans="1:17">
      <c r="A80" s="14" t="s">
        <v>208</v>
      </c>
      <c r="B80" s="14" t="s">
        <v>18</v>
      </c>
      <c r="C80" s="14" t="s">
        <v>19</v>
      </c>
      <c r="D80" s="14" t="s">
        <v>20</v>
      </c>
      <c r="E80" s="14" t="s">
        <v>32</v>
      </c>
      <c r="F80" s="16">
        <v>5</v>
      </c>
      <c r="G80" s="14" t="s">
        <v>209</v>
      </c>
      <c r="H80" s="14" t="s">
        <v>41</v>
      </c>
      <c r="I80" s="17">
        <v>4</v>
      </c>
      <c r="J80" s="17">
        <v>3</v>
      </c>
      <c r="K80" s="17">
        <v>3</v>
      </c>
      <c r="L80" s="17">
        <v>3</v>
      </c>
      <c r="M80" s="14" t="s">
        <v>59</v>
      </c>
      <c r="N80" s="14" t="s">
        <v>63</v>
      </c>
      <c r="O80" s="14" t="s">
        <v>35</v>
      </c>
      <c r="P80" s="14" t="s">
        <v>44</v>
      </c>
      <c r="Q80" s="14" t="s">
        <v>28</v>
      </c>
    </row>
    <row r="81" spans="1:17">
      <c r="A81" s="14" t="s">
        <v>210</v>
      </c>
      <c r="B81" s="14" t="s">
        <v>37</v>
      </c>
      <c r="C81" s="14" t="s">
        <v>38</v>
      </c>
      <c r="D81" s="14" t="s">
        <v>31</v>
      </c>
      <c r="E81" s="14" t="s">
        <v>21</v>
      </c>
      <c r="F81" s="16">
        <v>7.1</v>
      </c>
      <c r="G81" s="14" t="s">
        <v>211</v>
      </c>
      <c r="H81" s="14" t="s">
        <v>54</v>
      </c>
      <c r="I81" s="17">
        <v>5</v>
      </c>
      <c r="J81" s="17">
        <v>4</v>
      </c>
      <c r="K81" s="17">
        <v>4</v>
      </c>
      <c r="L81" s="17">
        <v>5</v>
      </c>
      <c r="M81" s="14" t="s">
        <v>42</v>
      </c>
      <c r="N81" s="14" t="s">
        <v>63</v>
      </c>
      <c r="O81" s="14" t="s">
        <v>85</v>
      </c>
      <c r="P81" s="14" t="s">
        <v>49</v>
      </c>
      <c r="Q81" s="14" t="s">
        <v>28</v>
      </c>
    </row>
    <row r="82" spans="1:17">
      <c r="A82" s="14" t="s">
        <v>212</v>
      </c>
      <c r="B82" s="14" t="s">
        <v>30</v>
      </c>
      <c r="C82" s="14" t="s">
        <v>38</v>
      </c>
      <c r="D82" s="14" t="s">
        <v>31</v>
      </c>
      <c r="E82" s="14" t="s">
        <v>21</v>
      </c>
      <c r="F82" s="16">
        <v>7.2</v>
      </c>
      <c r="G82" s="14" t="s">
        <v>213</v>
      </c>
      <c r="H82" s="14" t="s">
        <v>34</v>
      </c>
      <c r="I82" s="17">
        <v>4</v>
      </c>
      <c r="J82" s="17">
        <v>3</v>
      </c>
      <c r="K82" s="17">
        <v>3</v>
      </c>
      <c r="L82" s="17">
        <v>3</v>
      </c>
      <c r="M82" s="14" t="s">
        <v>62</v>
      </c>
      <c r="N82" s="14" t="s">
        <v>55</v>
      </c>
      <c r="O82" s="14" t="s">
        <v>26</v>
      </c>
      <c r="P82" s="14" t="s">
        <v>28</v>
      </c>
      <c r="Q82" s="14" t="s">
        <v>28</v>
      </c>
    </row>
    <row r="83" spans="1:17">
      <c r="A83" s="14" t="s">
        <v>214</v>
      </c>
      <c r="B83" s="14" t="s">
        <v>51</v>
      </c>
      <c r="C83" s="14" t="s">
        <v>19</v>
      </c>
      <c r="D83" s="14" t="s">
        <v>20</v>
      </c>
      <c r="E83" s="14" t="s">
        <v>96</v>
      </c>
      <c r="F83" s="16">
        <v>0.5</v>
      </c>
      <c r="G83" s="14" t="s">
        <v>215</v>
      </c>
      <c r="H83" s="14" t="s">
        <v>100</v>
      </c>
      <c r="I83" s="17">
        <v>4</v>
      </c>
      <c r="J83" s="17">
        <v>3</v>
      </c>
      <c r="K83" s="17">
        <v>2</v>
      </c>
      <c r="L83" s="17">
        <v>3</v>
      </c>
      <c r="M83" s="14" t="s">
        <v>24</v>
      </c>
      <c r="N83" s="14" t="s">
        <v>47</v>
      </c>
      <c r="O83" s="14" t="s">
        <v>26</v>
      </c>
      <c r="P83" s="14" t="s">
        <v>81</v>
      </c>
      <c r="Q83" s="14" t="s">
        <v>28</v>
      </c>
    </row>
    <row r="84" spans="1:17">
      <c r="A84" s="14" t="s">
        <v>216</v>
      </c>
      <c r="B84" s="14" t="s">
        <v>30</v>
      </c>
      <c r="C84" s="14" t="s">
        <v>57</v>
      </c>
      <c r="D84" s="14" t="s">
        <v>20</v>
      </c>
      <c r="E84" s="14" t="s">
        <v>39</v>
      </c>
      <c r="F84" s="16">
        <v>2.7</v>
      </c>
      <c r="G84" s="14" t="s">
        <v>217</v>
      </c>
      <c r="H84" s="14" t="s">
        <v>94</v>
      </c>
      <c r="I84" s="17">
        <v>4</v>
      </c>
      <c r="J84" s="17">
        <v>3</v>
      </c>
      <c r="K84" s="17">
        <v>3</v>
      </c>
      <c r="L84" s="17">
        <v>3</v>
      </c>
      <c r="M84" s="14" t="s">
        <v>66</v>
      </c>
      <c r="N84" s="14" t="s">
        <v>77</v>
      </c>
      <c r="O84" s="14" t="s">
        <v>48</v>
      </c>
      <c r="P84" s="14" t="s">
        <v>27</v>
      </c>
      <c r="Q84" s="14" t="s">
        <v>28</v>
      </c>
    </row>
    <row r="85" spans="1:17">
      <c r="A85" s="14" t="s">
        <v>218</v>
      </c>
      <c r="B85" s="14" t="s">
        <v>30</v>
      </c>
      <c r="C85" s="14" t="s">
        <v>38</v>
      </c>
      <c r="D85" s="14" t="s">
        <v>31</v>
      </c>
      <c r="E85" s="14" t="s">
        <v>96</v>
      </c>
      <c r="F85" s="16">
        <v>0.8</v>
      </c>
      <c r="G85" s="14" t="s">
        <v>200</v>
      </c>
      <c r="H85" s="14" t="s">
        <v>54</v>
      </c>
      <c r="I85" s="17">
        <v>3</v>
      </c>
      <c r="J85" s="17">
        <v>3</v>
      </c>
      <c r="K85" s="17">
        <v>3</v>
      </c>
      <c r="L85" s="17">
        <v>1</v>
      </c>
      <c r="M85" s="14" t="s">
        <v>62</v>
      </c>
      <c r="N85" s="14" t="s">
        <v>77</v>
      </c>
      <c r="O85" s="14" t="s">
        <v>48</v>
      </c>
      <c r="P85" s="14" t="s">
        <v>28</v>
      </c>
      <c r="Q85" s="14" t="s">
        <v>28</v>
      </c>
    </row>
    <row r="86" spans="1:17">
      <c r="A86" s="14" t="s">
        <v>219</v>
      </c>
      <c r="B86" s="14" t="s">
        <v>30</v>
      </c>
      <c r="C86" s="14" t="s">
        <v>38</v>
      </c>
      <c r="D86" s="14" t="s">
        <v>20</v>
      </c>
      <c r="E86" s="14" t="s">
        <v>96</v>
      </c>
      <c r="F86" s="16">
        <v>0.6</v>
      </c>
      <c r="G86" s="14" t="s">
        <v>200</v>
      </c>
      <c r="H86" s="14" t="s">
        <v>41</v>
      </c>
      <c r="I86" s="17">
        <v>3</v>
      </c>
      <c r="J86" s="17">
        <v>3</v>
      </c>
      <c r="K86" s="17">
        <v>3</v>
      </c>
      <c r="L86" s="17">
        <v>3</v>
      </c>
      <c r="M86" s="14" t="s">
        <v>66</v>
      </c>
      <c r="N86" s="14" t="s">
        <v>55</v>
      </c>
      <c r="O86" s="14" t="s">
        <v>35</v>
      </c>
      <c r="P86" s="14" t="s">
        <v>49</v>
      </c>
      <c r="Q86" s="14" t="s">
        <v>28</v>
      </c>
    </row>
    <row r="87" spans="1:17">
      <c r="A87" s="14" t="s">
        <v>220</v>
      </c>
      <c r="B87" s="14" t="s">
        <v>30</v>
      </c>
      <c r="C87" s="14" t="s">
        <v>19</v>
      </c>
      <c r="D87" s="14" t="s">
        <v>20</v>
      </c>
      <c r="E87" s="14" t="s">
        <v>39</v>
      </c>
      <c r="F87" s="16">
        <v>1.8</v>
      </c>
      <c r="G87" s="14" t="s">
        <v>221</v>
      </c>
      <c r="H87" s="14" t="s">
        <v>100</v>
      </c>
      <c r="I87" s="17">
        <v>2</v>
      </c>
      <c r="J87" s="17">
        <v>2</v>
      </c>
      <c r="K87" s="17">
        <v>3</v>
      </c>
      <c r="L87" s="17">
        <v>4</v>
      </c>
      <c r="M87" s="14" t="s">
        <v>62</v>
      </c>
      <c r="N87" s="14" t="s">
        <v>77</v>
      </c>
      <c r="O87" s="14" t="s">
        <v>48</v>
      </c>
      <c r="P87" s="14" t="s">
        <v>28</v>
      </c>
      <c r="Q87" s="14" t="s">
        <v>28</v>
      </c>
    </row>
    <row r="88" spans="1:17">
      <c r="A88" s="14" t="s">
        <v>222</v>
      </c>
      <c r="B88" s="14" t="s">
        <v>18</v>
      </c>
      <c r="C88" s="14" t="s">
        <v>52</v>
      </c>
      <c r="D88" s="14" t="s">
        <v>31</v>
      </c>
      <c r="E88" s="14" t="s">
        <v>32</v>
      </c>
      <c r="F88" s="16">
        <v>4.3</v>
      </c>
      <c r="G88" s="14" t="s">
        <v>223</v>
      </c>
      <c r="H88" s="14" t="s">
        <v>54</v>
      </c>
      <c r="I88" s="17">
        <v>4</v>
      </c>
      <c r="J88" s="17">
        <v>3</v>
      </c>
      <c r="K88" s="17">
        <v>3</v>
      </c>
      <c r="L88" s="17">
        <v>4</v>
      </c>
      <c r="M88" s="14" t="s">
        <v>24</v>
      </c>
      <c r="N88" s="14" t="s">
        <v>114</v>
      </c>
      <c r="O88" s="14" t="s">
        <v>35</v>
      </c>
      <c r="P88" s="14" t="s">
        <v>28</v>
      </c>
      <c r="Q88" s="14" t="s">
        <v>28</v>
      </c>
    </row>
    <row r="89" spans="1:17">
      <c r="A89" s="14" t="s">
        <v>224</v>
      </c>
      <c r="B89" s="14" t="s">
        <v>51</v>
      </c>
      <c r="C89" s="14" t="s">
        <v>52</v>
      </c>
      <c r="D89" s="14" t="s">
        <v>20</v>
      </c>
      <c r="E89" s="14" t="s">
        <v>32</v>
      </c>
      <c r="F89" s="16">
        <v>3</v>
      </c>
      <c r="G89" s="14" t="s">
        <v>225</v>
      </c>
      <c r="H89" s="14" t="s">
        <v>41</v>
      </c>
      <c r="I89" s="17">
        <v>3</v>
      </c>
      <c r="J89" s="17">
        <v>2</v>
      </c>
      <c r="K89" s="17">
        <v>4</v>
      </c>
      <c r="L89" s="17">
        <v>4</v>
      </c>
      <c r="M89" s="14" t="s">
        <v>66</v>
      </c>
      <c r="N89" s="14" t="s">
        <v>77</v>
      </c>
      <c r="O89" s="14" t="s">
        <v>26</v>
      </c>
      <c r="P89" s="14" t="s">
        <v>130</v>
      </c>
      <c r="Q89" s="14" t="s">
        <v>28</v>
      </c>
    </row>
    <row r="90" spans="1:17">
      <c r="A90" s="14" t="s">
        <v>226</v>
      </c>
      <c r="B90" s="14" t="s">
        <v>37</v>
      </c>
      <c r="C90" s="14" t="s">
        <v>52</v>
      </c>
      <c r="D90" s="14" t="s">
        <v>31</v>
      </c>
      <c r="E90" s="14" t="s">
        <v>32</v>
      </c>
      <c r="F90" s="16">
        <v>4.2</v>
      </c>
      <c r="G90" s="14" t="s">
        <v>227</v>
      </c>
      <c r="H90" s="14" t="s">
        <v>41</v>
      </c>
      <c r="I90" s="17">
        <v>4</v>
      </c>
      <c r="J90" s="17">
        <v>3</v>
      </c>
      <c r="K90" s="17">
        <v>4</v>
      </c>
      <c r="L90" s="17">
        <v>4</v>
      </c>
      <c r="M90" s="14" t="s">
        <v>24</v>
      </c>
      <c r="N90" s="14" t="s">
        <v>25</v>
      </c>
      <c r="O90" s="14" t="s">
        <v>26</v>
      </c>
      <c r="P90" s="14" t="s">
        <v>28</v>
      </c>
      <c r="Q90" s="14" t="s">
        <v>28</v>
      </c>
    </row>
    <row r="91" spans="1:17">
      <c r="A91" s="14" t="s">
        <v>228</v>
      </c>
      <c r="B91" s="14" t="s">
        <v>30</v>
      </c>
      <c r="C91" s="14" t="s">
        <v>79</v>
      </c>
      <c r="D91" s="14" t="s">
        <v>20</v>
      </c>
      <c r="E91" s="14" t="s">
        <v>32</v>
      </c>
      <c r="F91" s="16">
        <v>4.4</v>
      </c>
      <c r="G91" s="14" t="s">
        <v>229</v>
      </c>
      <c r="H91" s="14" t="s">
        <v>54</v>
      </c>
      <c r="I91" s="17">
        <v>4</v>
      </c>
      <c r="J91" s="17">
        <v>4</v>
      </c>
      <c r="K91" s="17">
        <v>2</v>
      </c>
      <c r="L91" s="17">
        <v>5</v>
      </c>
      <c r="M91" s="14" t="s">
        <v>42</v>
      </c>
      <c r="N91" s="14" t="s">
        <v>55</v>
      </c>
      <c r="O91" s="14" t="s">
        <v>48</v>
      </c>
      <c r="P91" s="14" t="s">
        <v>28</v>
      </c>
      <c r="Q91" s="14" t="s">
        <v>28</v>
      </c>
    </row>
    <row r="92" ht="27" spans="1:17">
      <c r="A92" s="14" t="s">
        <v>230</v>
      </c>
      <c r="B92" s="14" t="s">
        <v>51</v>
      </c>
      <c r="C92" s="14" t="s">
        <v>79</v>
      </c>
      <c r="D92" s="14" t="s">
        <v>20</v>
      </c>
      <c r="E92" s="14" t="s">
        <v>21</v>
      </c>
      <c r="F92" s="16">
        <v>9.2</v>
      </c>
      <c r="G92" s="14" t="s">
        <v>231</v>
      </c>
      <c r="H92" s="14" t="s">
        <v>41</v>
      </c>
      <c r="I92" s="17">
        <v>4</v>
      </c>
      <c r="J92" s="17">
        <v>3</v>
      </c>
      <c r="K92" s="17">
        <v>4</v>
      </c>
      <c r="L92" s="17">
        <v>5</v>
      </c>
      <c r="M92" s="14" t="s">
        <v>66</v>
      </c>
      <c r="N92" s="14" t="s">
        <v>55</v>
      </c>
      <c r="O92" s="14" t="s">
        <v>48</v>
      </c>
      <c r="P92" s="14" t="s">
        <v>81</v>
      </c>
      <c r="Q92" s="14" t="s">
        <v>28</v>
      </c>
    </row>
    <row r="93" spans="1:17">
      <c r="A93" s="14" t="s">
        <v>232</v>
      </c>
      <c r="B93" s="14" t="s">
        <v>37</v>
      </c>
      <c r="C93" s="14" t="s">
        <v>57</v>
      </c>
      <c r="D93" s="14" t="s">
        <v>20</v>
      </c>
      <c r="E93" s="14" t="s">
        <v>96</v>
      </c>
      <c r="F93" s="16">
        <v>0.7</v>
      </c>
      <c r="G93" s="14" t="s">
        <v>233</v>
      </c>
      <c r="H93" s="14" t="s">
        <v>54</v>
      </c>
      <c r="I93" s="17">
        <v>3</v>
      </c>
      <c r="J93" s="17">
        <v>3</v>
      </c>
      <c r="K93" s="17">
        <v>3</v>
      </c>
      <c r="L93" s="17">
        <v>3</v>
      </c>
      <c r="M93" s="14" t="s">
        <v>62</v>
      </c>
      <c r="N93" s="14" t="s">
        <v>47</v>
      </c>
      <c r="O93" s="14" t="s">
        <v>48</v>
      </c>
      <c r="P93" s="14" t="s">
        <v>89</v>
      </c>
      <c r="Q93" s="14" t="s">
        <v>28</v>
      </c>
    </row>
    <row r="94" spans="1:17">
      <c r="A94" s="14" t="s">
        <v>234</v>
      </c>
      <c r="B94" s="14" t="s">
        <v>37</v>
      </c>
      <c r="C94" s="14" t="s">
        <v>57</v>
      </c>
      <c r="D94" s="14" t="s">
        <v>20</v>
      </c>
      <c r="E94" s="14" t="s">
        <v>96</v>
      </c>
      <c r="F94" s="16">
        <v>0.7</v>
      </c>
      <c r="G94" s="14" t="s">
        <v>233</v>
      </c>
      <c r="H94" s="14" t="s">
        <v>54</v>
      </c>
      <c r="I94" s="17">
        <v>3</v>
      </c>
      <c r="J94" s="17">
        <v>3</v>
      </c>
      <c r="K94" s="17">
        <v>3</v>
      </c>
      <c r="L94" s="17">
        <v>3</v>
      </c>
      <c r="M94" s="14" t="s">
        <v>62</v>
      </c>
      <c r="N94" s="14" t="s">
        <v>47</v>
      </c>
      <c r="O94" s="14" t="s">
        <v>48</v>
      </c>
      <c r="P94" s="14" t="s">
        <v>89</v>
      </c>
      <c r="Q94" s="14" t="s">
        <v>28</v>
      </c>
    </row>
    <row r="95" spans="1:17">
      <c r="A95" s="14" t="s">
        <v>235</v>
      </c>
      <c r="B95" s="14" t="s">
        <v>18</v>
      </c>
      <c r="C95" s="14" t="s">
        <v>38</v>
      </c>
      <c r="D95" s="14" t="s">
        <v>31</v>
      </c>
      <c r="E95" s="14" t="s">
        <v>39</v>
      </c>
      <c r="F95" s="16">
        <v>1.9</v>
      </c>
      <c r="G95" s="14" t="s">
        <v>236</v>
      </c>
      <c r="H95" s="14" t="s">
        <v>54</v>
      </c>
      <c r="I95" s="17">
        <v>4</v>
      </c>
      <c r="J95" s="17">
        <v>2</v>
      </c>
      <c r="K95" s="17">
        <v>3</v>
      </c>
      <c r="L95" s="17">
        <v>3</v>
      </c>
      <c r="M95" s="14" t="s">
        <v>42</v>
      </c>
      <c r="N95" s="14" t="s">
        <v>77</v>
      </c>
      <c r="O95" s="14" t="s">
        <v>48</v>
      </c>
      <c r="P95" s="14" t="s">
        <v>27</v>
      </c>
      <c r="Q95" s="14" t="s">
        <v>28</v>
      </c>
    </row>
    <row r="96" spans="1:17">
      <c r="A96" s="14" t="s">
        <v>237</v>
      </c>
      <c r="B96" s="14" t="s">
        <v>18</v>
      </c>
      <c r="C96" s="14" t="s">
        <v>52</v>
      </c>
      <c r="D96" s="14" t="s">
        <v>69</v>
      </c>
      <c r="E96" s="14" t="s">
        <v>39</v>
      </c>
      <c r="F96" s="16">
        <v>3</v>
      </c>
      <c r="G96" s="14" t="s">
        <v>238</v>
      </c>
      <c r="H96" s="14" t="s">
        <v>94</v>
      </c>
      <c r="I96" s="17">
        <v>4</v>
      </c>
      <c r="J96" s="17">
        <v>4</v>
      </c>
      <c r="K96" s="17">
        <v>3</v>
      </c>
      <c r="L96" s="17">
        <v>3</v>
      </c>
      <c r="M96" s="14" t="s">
        <v>24</v>
      </c>
      <c r="N96" s="14" t="s">
        <v>77</v>
      </c>
      <c r="O96" s="14" t="s">
        <v>35</v>
      </c>
      <c r="P96" s="14" t="s">
        <v>81</v>
      </c>
      <c r="Q96" s="14" t="s">
        <v>28</v>
      </c>
    </row>
    <row r="97" spans="1:17">
      <c r="A97" s="14" t="s">
        <v>239</v>
      </c>
      <c r="B97" s="14" t="s">
        <v>30</v>
      </c>
      <c r="C97" s="14" t="s">
        <v>19</v>
      </c>
      <c r="D97" s="14" t="s">
        <v>31</v>
      </c>
      <c r="E97" s="14" t="s">
        <v>32</v>
      </c>
      <c r="F97" s="16">
        <v>3.7</v>
      </c>
      <c r="G97" s="14" t="s">
        <v>213</v>
      </c>
      <c r="H97" s="14" t="s">
        <v>23</v>
      </c>
      <c r="I97" s="17">
        <v>2</v>
      </c>
      <c r="J97" s="17">
        <v>3</v>
      </c>
      <c r="K97" s="17">
        <v>3</v>
      </c>
      <c r="L97" s="17">
        <v>3</v>
      </c>
      <c r="M97" s="14" t="s">
        <v>66</v>
      </c>
      <c r="N97" s="14" t="s">
        <v>77</v>
      </c>
      <c r="O97" s="14" t="s">
        <v>26</v>
      </c>
      <c r="P97" s="14" t="s">
        <v>28</v>
      </c>
      <c r="Q97" s="14" t="s">
        <v>28</v>
      </c>
    </row>
    <row r="98" spans="1:17">
      <c r="A98" s="14" t="s">
        <v>240</v>
      </c>
      <c r="B98" s="14" t="s">
        <v>30</v>
      </c>
      <c r="C98" s="14" t="s">
        <v>38</v>
      </c>
      <c r="D98" s="14" t="s">
        <v>31</v>
      </c>
      <c r="E98" s="14" t="s">
        <v>21</v>
      </c>
      <c r="F98" s="16">
        <v>5.3</v>
      </c>
      <c r="G98" s="14" t="s">
        <v>241</v>
      </c>
      <c r="H98" s="14" t="s">
        <v>54</v>
      </c>
      <c r="I98" s="17">
        <v>5</v>
      </c>
      <c r="J98" s="17">
        <v>3</v>
      </c>
      <c r="K98" s="17">
        <v>3</v>
      </c>
      <c r="L98" s="17">
        <v>4</v>
      </c>
      <c r="M98" s="14" t="s">
        <v>59</v>
      </c>
      <c r="N98" s="14" t="s">
        <v>55</v>
      </c>
      <c r="O98" s="14" t="s">
        <v>48</v>
      </c>
      <c r="P98" s="14" t="s">
        <v>89</v>
      </c>
      <c r="Q98" s="14" t="s">
        <v>28</v>
      </c>
    </row>
    <row r="99" spans="1:17">
      <c r="A99" s="14" t="s">
        <v>242</v>
      </c>
      <c r="B99" s="14" t="s">
        <v>51</v>
      </c>
      <c r="C99" s="14" t="s">
        <v>19</v>
      </c>
      <c r="D99" s="14" t="s">
        <v>31</v>
      </c>
      <c r="E99" s="14" t="s">
        <v>39</v>
      </c>
      <c r="F99" s="16">
        <v>2.1</v>
      </c>
      <c r="G99" s="14" t="s">
        <v>99</v>
      </c>
      <c r="H99" s="14" t="s">
        <v>41</v>
      </c>
      <c r="I99" s="17">
        <v>3</v>
      </c>
      <c r="J99" s="17">
        <v>3</v>
      </c>
      <c r="K99" s="17">
        <v>2</v>
      </c>
      <c r="L99" s="17">
        <v>3</v>
      </c>
      <c r="M99" s="14" t="s">
        <v>66</v>
      </c>
      <c r="N99" s="14" t="s">
        <v>55</v>
      </c>
      <c r="O99" s="14" t="s">
        <v>35</v>
      </c>
      <c r="P99" s="14" t="s">
        <v>81</v>
      </c>
      <c r="Q99" s="14" t="s">
        <v>28</v>
      </c>
    </row>
    <row r="100" ht="27" spans="1:17">
      <c r="A100" s="14" t="s">
        <v>243</v>
      </c>
      <c r="B100" s="14" t="s">
        <v>18</v>
      </c>
      <c r="C100" s="14" t="s">
        <v>19</v>
      </c>
      <c r="D100" s="14" t="s">
        <v>31</v>
      </c>
      <c r="E100" s="14" t="s">
        <v>32</v>
      </c>
      <c r="F100" s="16">
        <v>4.1</v>
      </c>
      <c r="G100" s="14" t="s">
        <v>244</v>
      </c>
      <c r="H100" s="14" t="s">
        <v>94</v>
      </c>
      <c r="I100" s="17">
        <v>4</v>
      </c>
      <c r="J100" s="17">
        <v>3</v>
      </c>
      <c r="K100" s="17">
        <v>3</v>
      </c>
      <c r="L100" s="17">
        <v>5</v>
      </c>
      <c r="M100" s="14" t="s">
        <v>84</v>
      </c>
      <c r="N100" s="14" t="s">
        <v>77</v>
      </c>
      <c r="O100" s="14" t="s">
        <v>26</v>
      </c>
      <c r="P100" s="14" t="s">
        <v>27</v>
      </c>
      <c r="Q100" s="14" t="s">
        <v>28</v>
      </c>
    </row>
    <row r="101" spans="1:17">
      <c r="A101" s="14" t="s">
        <v>245</v>
      </c>
      <c r="B101" s="14" t="s">
        <v>18</v>
      </c>
      <c r="C101" s="14" t="s">
        <v>57</v>
      </c>
      <c r="D101" s="14" t="s">
        <v>20</v>
      </c>
      <c r="E101" s="14" t="s">
        <v>21</v>
      </c>
      <c r="F101" s="16">
        <v>5.2</v>
      </c>
      <c r="G101" s="14" t="s">
        <v>246</v>
      </c>
      <c r="H101" s="14" t="s">
        <v>23</v>
      </c>
      <c r="I101" s="17">
        <v>5</v>
      </c>
      <c r="J101" s="17">
        <v>2</v>
      </c>
      <c r="K101" s="17">
        <v>3</v>
      </c>
      <c r="L101" s="17">
        <v>4</v>
      </c>
      <c r="M101" s="14" t="s">
        <v>84</v>
      </c>
      <c r="N101" s="14" t="s">
        <v>77</v>
      </c>
      <c r="O101" s="14" t="s">
        <v>48</v>
      </c>
      <c r="P101" s="14" t="s">
        <v>27</v>
      </c>
      <c r="Q101" s="14" t="s">
        <v>28</v>
      </c>
    </row>
    <row r="102" spans="1:17">
      <c r="A102" s="14" t="s">
        <v>247</v>
      </c>
      <c r="B102" s="14" t="s">
        <v>18</v>
      </c>
      <c r="C102" s="14" t="s">
        <v>57</v>
      </c>
      <c r="D102" s="14" t="s">
        <v>20</v>
      </c>
      <c r="E102" s="14" t="s">
        <v>32</v>
      </c>
      <c r="F102" s="16">
        <v>3</v>
      </c>
      <c r="G102" s="14" t="s">
        <v>248</v>
      </c>
      <c r="H102" s="14" t="s">
        <v>54</v>
      </c>
      <c r="I102" s="17">
        <v>3</v>
      </c>
      <c r="J102" s="17">
        <v>3</v>
      </c>
      <c r="K102" s="17">
        <v>4</v>
      </c>
      <c r="L102" s="17">
        <v>3</v>
      </c>
      <c r="M102" s="14" t="s">
        <v>42</v>
      </c>
      <c r="N102" s="14" t="s">
        <v>77</v>
      </c>
      <c r="O102" s="14" t="s">
        <v>35</v>
      </c>
      <c r="P102" s="14" t="s">
        <v>130</v>
      </c>
      <c r="Q102" s="14" t="s">
        <v>28</v>
      </c>
    </row>
    <row r="103" spans="1:17">
      <c r="A103" s="14" t="s">
        <v>249</v>
      </c>
      <c r="B103" s="14" t="s">
        <v>51</v>
      </c>
      <c r="C103" s="14" t="s">
        <v>19</v>
      </c>
      <c r="D103" s="14" t="s">
        <v>20</v>
      </c>
      <c r="E103" s="14" t="s">
        <v>96</v>
      </c>
      <c r="F103" s="16">
        <v>1.3</v>
      </c>
      <c r="G103" s="14" t="s">
        <v>88</v>
      </c>
      <c r="H103" s="14" t="s">
        <v>41</v>
      </c>
      <c r="I103" s="17">
        <v>3</v>
      </c>
      <c r="J103" s="17">
        <v>3</v>
      </c>
      <c r="K103" s="17">
        <v>3</v>
      </c>
      <c r="L103" s="17">
        <v>3</v>
      </c>
      <c r="M103" s="14" t="s">
        <v>62</v>
      </c>
      <c r="N103" s="14" t="s">
        <v>63</v>
      </c>
      <c r="O103" s="14" t="s">
        <v>35</v>
      </c>
      <c r="P103" s="14" t="s">
        <v>89</v>
      </c>
      <c r="Q103" s="14" t="s">
        <v>28</v>
      </c>
    </row>
    <row r="104" spans="1:17">
      <c r="A104" s="14" t="s">
        <v>250</v>
      </c>
      <c r="B104" s="14" t="s">
        <v>30</v>
      </c>
      <c r="C104" s="14" t="s">
        <v>79</v>
      </c>
      <c r="D104" s="14" t="s">
        <v>31</v>
      </c>
      <c r="E104" s="14" t="s">
        <v>39</v>
      </c>
      <c r="F104" s="16">
        <v>1.7</v>
      </c>
      <c r="G104" s="14" t="s">
        <v>175</v>
      </c>
      <c r="H104" s="14" t="s">
        <v>23</v>
      </c>
      <c r="I104" s="17">
        <v>3</v>
      </c>
      <c r="J104" s="17">
        <v>3</v>
      </c>
      <c r="K104" s="17">
        <v>5</v>
      </c>
      <c r="L104" s="17">
        <v>3</v>
      </c>
      <c r="M104" s="14" t="s">
        <v>24</v>
      </c>
      <c r="N104" s="14" t="s">
        <v>47</v>
      </c>
      <c r="O104" s="14" t="s">
        <v>35</v>
      </c>
      <c r="P104" s="14" t="s">
        <v>130</v>
      </c>
      <c r="Q104" s="14" t="s">
        <v>28</v>
      </c>
    </row>
    <row r="105" spans="1:17">
      <c r="A105" s="14" t="s">
        <v>251</v>
      </c>
      <c r="B105" s="14" t="s">
        <v>30</v>
      </c>
      <c r="C105" s="14" t="s">
        <v>79</v>
      </c>
      <c r="D105" s="14" t="s">
        <v>31</v>
      </c>
      <c r="E105" s="14" t="s">
        <v>32</v>
      </c>
      <c r="F105" s="16">
        <v>5.4</v>
      </c>
      <c r="G105" s="14" t="s">
        <v>252</v>
      </c>
      <c r="H105" s="14" t="s">
        <v>54</v>
      </c>
      <c r="I105" s="17">
        <v>4</v>
      </c>
      <c r="J105" s="17">
        <v>3</v>
      </c>
      <c r="K105" s="17">
        <v>3</v>
      </c>
      <c r="L105" s="17">
        <v>5</v>
      </c>
      <c r="M105" s="14" t="s">
        <v>66</v>
      </c>
      <c r="N105" s="14" t="s">
        <v>43</v>
      </c>
      <c r="O105" s="14" t="s">
        <v>35</v>
      </c>
      <c r="P105" s="14" t="s">
        <v>28</v>
      </c>
      <c r="Q105" s="14" t="s">
        <v>28</v>
      </c>
    </row>
    <row r="106" spans="1:17">
      <c r="A106" s="14" t="s">
        <v>253</v>
      </c>
      <c r="B106" s="14" t="s">
        <v>30</v>
      </c>
      <c r="C106" s="14" t="s">
        <v>52</v>
      </c>
      <c r="D106" s="14" t="s">
        <v>20</v>
      </c>
      <c r="E106" s="14" t="s">
        <v>32</v>
      </c>
      <c r="F106" s="16">
        <v>5.7</v>
      </c>
      <c r="G106" s="14" t="s">
        <v>254</v>
      </c>
      <c r="H106" s="14" t="s">
        <v>54</v>
      </c>
      <c r="I106" s="17">
        <v>4</v>
      </c>
      <c r="J106" s="17">
        <v>2</v>
      </c>
      <c r="K106" s="17">
        <v>3</v>
      </c>
      <c r="L106" s="17">
        <v>5</v>
      </c>
      <c r="M106" s="14" t="s">
        <v>62</v>
      </c>
      <c r="N106" s="14" t="s">
        <v>43</v>
      </c>
      <c r="O106" s="14" t="s">
        <v>26</v>
      </c>
      <c r="P106" s="14" t="s">
        <v>44</v>
      </c>
      <c r="Q106" s="14" t="s">
        <v>28</v>
      </c>
    </row>
    <row r="107" spans="1:17">
      <c r="A107" s="14" t="s">
        <v>255</v>
      </c>
      <c r="B107" s="14" t="s">
        <v>51</v>
      </c>
      <c r="C107" s="14" t="s">
        <v>79</v>
      </c>
      <c r="D107" s="14" t="s">
        <v>31</v>
      </c>
      <c r="E107" s="14" t="s">
        <v>39</v>
      </c>
      <c r="F107" s="16">
        <v>2</v>
      </c>
      <c r="G107" s="14" t="s">
        <v>127</v>
      </c>
      <c r="H107" s="14" t="s">
        <v>41</v>
      </c>
      <c r="I107" s="17">
        <v>1</v>
      </c>
      <c r="J107" s="17">
        <v>1</v>
      </c>
      <c r="K107" s="17">
        <v>1</v>
      </c>
      <c r="L107" s="17">
        <v>1</v>
      </c>
      <c r="M107" s="14" t="s">
        <v>66</v>
      </c>
      <c r="N107" s="14" t="s">
        <v>55</v>
      </c>
      <c r="O107" s="14" t="s">
        <v>35</v>
      </c>
      <c r="P107" s="14" t="s">
        <v>256</v>
      </c>
      <c r="Q107" s="14" t="s">
        <v>28</v>
      </c>
    </row>
  </sheetData>
  <autoFilter xmlns:etc="http://www.wps.cn/officeDocument/2017/etCustomData" ref="A1:Q10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20" customWidth="1"/>
    <col min="2" max="2" width="34" customWidth="1"/>
    <col min="3" max="3" width="52" customWidth="1"/>
    <col min="4" max="4" width="54" customWidth="1"/>
    <col min="5" max="5" width="12" customWidth="1"/>
    <col min="6" max="6" width="18" customWidth="1"/>
  </cols>
  <sheetData>
    <row r="1" spans="1:6">
      <c r="A1" s="13" t="s">
        <v>257</v>
      </c>
      <c r="B1" s="13" t="s">
        <v>258</v>
      </c>
      <c r="C1" s="13" t="s">
        <v>259</v>
      </c>
      <c r="D1" s="13" t="s">
        <v>260</v>
      </c>
      <c r="E1" s="13" t="s">
        <v>261</v>
      </c>
      <c r="F1" s="13" t="s">
        <v>262</v>
      </c>
    </row>
    <row r="2" ht="27" spans="1:6">
      <c r="A2" s="14" t="s">
        <v>263</v>
      </c>
      <c r="B2" s="14" t="s">
        <v>264</v>
      </c>
      <c r="C2" s="14" t="s">
        <v>265</v>
      </c>
      <c r="D2" s="14" t="s">
        <v>266</v>
      </c>
      <c r="E2" s="14">
        <v>1</v>
      </c>
      <c r="F2" s="14" t="s">
        <v>267</v>
      </c>
    </row>
    <row r="3" spans="1:6">
      <c r="A3" s="14" t="s">
        <v>268</v>
      </c>
      <c r="B3" s="14" t="s">
        <v>269</v>
      </c>
      <c r="C3" s="14" t="s">
        <v>270</v>
      </c>
      <c r="D3" s="14" t="s">
        <v>271</v>
      </c>
      <c r="E3" s="14">
        <v>1</v>
      </c>
      <c r="F3" s="14" t="s">
        <v>267</v>
      </c>
    </row>
    <row r="4" spans="1:6">
      <c r="A4" s="14" t="s">
        <v>272</v>
      </c>
      <c r="B4" s="14" t="s">
        <v>273</v>
      </c>
      <c r="C4" s="14" t="s">
        <v>274</v>
      </c>
      <c r="D4" s="14" t="s">
        <v>275</v>
      </c>
      <c r="E4" s="14">
        <v>40</v>
      </c>
      <c r="F4" s="14" t="s">
        <v>267</v>
      </c>
    </row>
    <row r="5" spans="1:6">
      <c r="A5" s="15" t="s">
        <v>276</v>
      </c>
      <c r="B5" s="15" t="s">
        <v>277</v>
      </c>
      <c r="C5" s="15" t="s">
        <v>278</v>
      </c>
      <c r="D5" s="15" t="s">
        <v>279</v>
      </c>
      <c r="E5" s="15">
        <v>1</v>
      </c>
      <c r="F5" s="15" t="s">
        <v>267</v>
      </c>
    </row>
    <row r="6" spans="1:6">
      <c r="A6" s="15" t="s">
        <v>276</v>
      </c>
      <c r="B6" s="15" t="s">
        <v>280</v>
      </c>
      <c r="C6" s="15" t="s">
        <v>278</v>
      </c>
      <c r="D6" s="15" t="s">
        <v>279</v>
      </c>
      <c r="E6" s="15">
        <v>1</v>
      </c>
      <c r="F6" s="15" t="s">
        <v>267</v>
      </c>
    </row>
    <row r="7" ht="27" spans="1:6">
      <c r="A7" s="14" t="s">
        <v>276</v>
      </c>
      <c r="B7" s="14" t="s">
        <v>281</v>
      </c>
      <c r="C7" s="14" t="s">
        <v>282</v>
      </c>
      <c r="D7" s="14" t="s">
        <v>283</v>
      </c>
      <c r="E7" s="14">
        <v>1</v>
      </c>
      <c r="F7" s="14" t="s">
        <v>267</v>
      </c>
    </row>
    <row r="8" ht="27" spans="1:6">
      <c r="A8" s="14" t="s">
        <v>272</v>
      </c>
      <c r="B8" s="14" t="s">
        <v>284</v>
      </c>
      <c r="C8" s="14" t="s">
        <v>285</v>
      </c>
      <c r="D8" s="14" t="s">
        <v>286</v>
      </c>
      <c r="E8" s="14">
        <v>1</v>
      </c>
      <c r="F8" s="14" t="s">
        <v>267</v>
      </c>
    </row>
    <row r="9" spans="1:6">
      <c r="A9" s="14" t="s">
        <v>268</v>
      </c>
      <c r="B9" s="14" t="s">
        <v>287</v>
      </c>
      <c r="C9" s="14" t="s">
        <v>288</v>
      </c>
      <c r="D9" s="14" t="s">
        <v>289</v>
      </c>
      <c r="E9" s="14">
        <v>1</v>
      </c>
      <c r="F9" s="14" t="s">
        <v>267</v>
      </c>
    </row>
    <row r="10" spans="1:6">
      <c r="A10" s="15" t="s">
        <v>290</v>
      </c>
      <c r="B10" s="15" t="s">
        <v>291</v>
      </c>
      <c r="C10" s="15" t="s">
        <v>292</v>
      </c>
      <c r="D10" s="15" t="s">
        <v>289</v>
      </c>
      <c r="E10" s="15">
        <v>1</v>
      </c>
      <c r="F10" s="15" t="s">
        <v>267</v>
      </c>
    </row>
  </sheetData>
  <autoFilter xmlns:etc="http://www.wps.cn/officeDocument/2017/etCustomData" ref="A1:F1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cols>
    <col min="1" max="1" width="16" customWidth="1"/>
    <col min="2" max="3" width="12" customWidth="1"/>
    <col min="4" max="4" width="14" customWidth="1"/>
    <col min="5" max="5" width="16" customWidth="1"/>
  </cols>
  <sheetData>
    <row r="1" spans="1:5">
      <c r="A1" s="9" t="s">
        <v>293</v>
      </c>
      <c r="B1" s="9" t="s">
        <v>294</v>
      </c>
      <c r="C1" s="9" t="s">
        <v>295</v>
      </c>
      <c r="D1" s="9" t="s">
        <v>296</v>
      </c>
      <c r="E1" s="9" t="s">
        <v>297</v>
      </c>
    </row>
    <row r="2" ht="15.75" spans="1:5">
      <c r="A2" s="10">
        <v>110</v>
      </c>
      <c r="B2" s="10">
        <v>4</v>
      </c>
      <c r="C2" s="10">
        <v>3</v>
      </c>
      <c r="D2" s="10">
        <v>0</v>
      </c>
      <c r="E2" s="10">
        <v>106</v>
      </c>
    </row>
    <row r="4" spans="1:5">
      <c r="A4" s="11" t="s">
        <v>298</v>
      </c>
    </row>
    <row r="5" spans="1:5">
      <c r="A5" s="12" t="s">
        <v>299</v>
      </c>
    </row>
  </sheetData>
  <mergeCells count="1">
    <mergeCell ref="A5:E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tabSelected="1" workbookViewId="0">
      <selection activeCell="F30" sqref="F30"/>
    </sheetView>
  </sheetViews>
  <sheetFormatPr defaultColWidth="9" defaultRowHeight="13.5" outlineLevelCol="7"/>
  <cols>
    <col min="1" max="1" width="18" customWidth="1"/>
    <col min="2" max="6" width="14" customWidth="1"/>
    <col min="7" max="7" width="10" customWidth="1"/>
    <col min="8" max="8" width="12" customWidth="1"/>
    <col min="10" max="10" width="3" customWidth="1"/>
  </cols>
  <sheetData>
    <row r="1" ht="20.25" spans="1:8">
      <c r="A1" s="1" t="s">
        <v>300</v>
      </c>
    </row>
    <row r="3" spans="1:8">
      <c r="A3" s="2" t="s">
        <v>1</v>
      </c>
      <c r="B3" s="2" t="s">
        <v>87</v>
      </c>
      <c r="C3" s="2" t="s">
        <v>96</v>
      </c>
      <c r="D3" s="2" t="s">
        <v>39</v>
      </c>
      <c r="E3" s="2" t="s">
        <v>32</v>
      </c>
      <c r="F3" s="2" t="s">
        <v>21</v>
      </c>
      <c r="G3" s="2" t="s">
        <v>301</v>
      </c>
      <c r="H3" s="2" t="s">
        <v>302</v>
      </c>
    </row>
    <row r="4" spans="1:8">
      <c r="A4" s="3" t="s">
        <v>51</v>
      </c>
      <c r="B4" s="3">
        <f>COUNTIFS(清洗后的数据!$B$2:$B$107,$A4,清洗后的数据!$E$2:$E$107,B$3)</f>
        <v>3</v>
      </c>
      <c r="C4" s="3">
        <f>COUNTIFS(清洗后的数据!$B$2:$B$107,$A4,清洗后的数据!$E$2:$E$107,C$3)</f>
        <v>4</v>
      </c>
      <c r="D4" s="3">
        <f>COUNTIFS(清洗后的数据!$B$2:$B$107,$A4,清洗后的数据!$E$2:$E$107,D$3)</f>
        <v>9</v>
      </c>
      <c r="E4" s="3">
        <f>COUNTIFS(清洗后的数据!$B$2:$B$107,$A4,清洗后的数据!$E$2:$E$107,E$3)</f>
        <v>8</v>
      </c>
      <c r="F4" s="3">
        <f>COUNTIFS(清洗后的数据!$B$2:$B$107,$A4,清洗后的数据!$E$2:$E$107,F$3)</f>
        <v>6</v>
      </c>
      <c r="G4" s="3">
        <f>SUM(B4:F4)</f>
        <v>30</v>
      </c>
      <c r="H4" s="4">
        <f>G4/SUM($G$4:$G$7)</f>
        <v>0.283018867924528</v>
      </c>
    </row>
    <row r="5" spans="1:8">
      <c r="A5" s="3" t="s">
        <v>30</v>
      </c>
      <c r="B5" s="3">
        <f>COUNTIFS(清洗后的数据!$B$2:$B$107,$A5,清洗后的数据!$E$2:$E$107,B$3)</f>
        <v>3</v>
      </c>
      <c r="C5" s="3">
        <f>COUNTIFS(清洗后的数据!$B$2:$B$107,$A5,清洗后的数据!$E$2:$E$107,C$3)</f>
        <v>5</v>
      </c>
      <c r="D5" s="3">
        <f>COUNTIFS(清洗后的数据!$B$2:$B$107,$A5,清洗后的数据!$E$2:$E$107,D$3)</f>
        <v>5</v>
      </c>
      <c r="E5" s="3">
        <f>COUNTIFS(清洗后的数据!$B$2:$B$107,$A5,清洗后的数据!$E$2:$E$107,E$3)</f>
        <v>21</v>
      </c>
      <c r="F5" s="3">
        <f>COUNTIFS(清洗后的数据!$B$2:$B$107,$A5,清洗后的数据!$E$2:$E$107,F$3)</f>
        <v>4</v>
      </c>
      <c r="G5" s="3">
        <f>SUM(B5:F5)</f>
        <v>38</v>
      </c>
      <c r="H5" s="4">
        <f>G5/SUM($G$4:$G$7)</f>
        <v>0.358490566037736</v>
      </c>
    </row>
    <row r="6" spans="1:8">
      <c r="A6" s="3" t="s">
        <v>18</v>
      </c>
      <c r="B6" s="3">
        <f>COUNTIFS(清洗后的数据!$B$2:$B$107,$A6,清洗后的数据!$E$2:$E$107,B$3)</f>
        <v>2</v>
      </c>
      <c r="C6" s="3">
        <f>COUNTIFS(清洗后的数据!$B$2:$B$107,$A6,清洗后的数据!$E$2:$E$107,C$3)</f>
        <v>0</v>
      </c>
      <c r="D6" s="3">
        <f>COUNTIFS(清洗后的数据!$B$2:$B$107,$A6,清洗后的数据!$E$2:$E$107,D$3)</f>
        <v>5</v>
      </c>
      <c r="E6" s="3">
        <f>COUNTIFS(清洗后的数据!$B$2:$B$107,$A6,清洗后的数据!$E$2:$E$107,E$3)</f>
        <v>8</v>
      </c>
      <c r="F6" s="3">
        <f>COUNTIFS(清洗后的数据!$B$2:$B$107,$A6,清洗后的数据!$E$2:$E$107,F$3)</f>
        <v>11</v>
      </c>
      <c r="G6" s="3">
        <f>SUM(B6:F6)</f>
        <v>26</v>
      </c>
      <c r="H6" s="4">
        <f>G6/SUM($G$4:$G$7)</f>
        <v>0.245283018867925</v>
      </c>
    </row>
    <row r="7" spans="1:8">
      <c r="A7" s="3" t="s">
        <v>37</v>
      </c>
      <c r="B7" s="3">
        <f>COUNTIFS(清洗后的数据!$B$2:$B$107,$A7,清洗后的数据!$E$2:$E$107,B$3)</f>
        <v>0</v>
      </c>
      <c r="C7" s="3">
        <f>COUNTIFS(清洗后的数据!$B$2:$B$107,$A7,清洗后的数据!$E$2:$E$107,C$3)</f>
        <v>2</v>
      </c>
      <c r="D7" s="3">
        <f>COUNTIFS(清洗后的数据!$B$2:$B$107,$A7,清洗后的数据!$E$2:$E$107,D$3)</f>
        <v>4</v>
      </c>
      <c r="E7" s="3">
        <f>COUNTIFS(清洗后的数据!$B$2:$B$107,$A7,清洗后的数据!$E$2:$E$107,E$3)</f>
        <v>2</v>
      </c>
      <c r="F7" s="3">
        <f>COUNTIFS(清洗后的数据!$B$2:$B$107,$A7,清洗后的数据!$E$2:$E$107,F$3)</f>
        <v>4</v>
      </c>
      <c r="G7" s="3">
        <f>SUM(B7:F7)</f>
        <v>12</v>
      </c>
      <c r="H7" s="4">
        <f>G7/SUM($G$4:$G$7)</f>
        <v>0.113207547169811</v>
      </c>
    </row>
    <row r="8" spans="1:8">
      <c r="A8" s="5" t="s">
        <v>301</v>
      </c>
      <c r="B8" s="5">
        <f t="shared" ref="B8:G8" si="0">SUM(B4:B7)</f>
        <v>8</v>
      </c>
      <c r="C8" s="5">
        <f t="shared" si="0"/>
        <v>11</v>
      </c>
      <c r="D8" s="5">
        <f t="shared" si="0"/>
        <v>23</v>
      </c>
      <c r="E8" s="5">
        <f t="shared" si="0"/>
        <v>39</v>
      </c>
      <c r="F8" s="5">
        <f t="shared" si="0"/>
        <v>25</v>
      </c>
      <c r="G8" s="5">
        <f t="shared" si="0"/>
        <v>106</v>
      </c>
      <c r="H8" s="6">
        <f>1</f>
        <v>1</v>
      </c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 t="s">
        <v>303</v>
      </c>
      <c r="B12" s="2" t="s">
        <v>87</v>
      </c>
      <c r="C12" s="2" t="s">
        <v>96</v>
      </c>
      <c r="D12" s="2" t="s">
        <v>39</v>
      </c>
      <c r="E12" s="2" t="s">
        <v>32</v>
      </c>
      <c r="F12" s="2" t="s">
        <v>21</v>
      </c>
      <c r="G12" s="2" t="s">
        <v>301</v>
      </c>
      <c r="H12" s="3"/>
    </row>
    <row r="13" spans="1:8">
      <c r="A13" s="3" t="s">
        <v>51</v>
      </c>
      <c r="B13" s="4">
        <f>B4/$G4</f>
        <v>0.1</v>
      </c>
      <c r="C13" s="4">
        <f>C4/$G4</f>
        <v>0.133333333333333</v>
      </c>
      <c r="D13" s="4">
        <f>D4/$G4</f>
        <v>0.3</v>
      </c>
      <c r="E13" s="4">
        <f>E4/$G4</f>
        <v>0.266666666666667</v>
      </c>
      <c r="F13" s="4">
        <f>F4/$G4</f>
        <v>0.2</v>
      </c>
      <c r="G13" s="4">
        <f>SUM(B13:F13)</f>
        <v>1</v>
      </c>
      <c r="H13" s="3"/>
    </row>
    <row r="14" spans="1:8">
      <c r="A14" s="3" t="s">
        <v>30</v>
      </c>
      <c r="B14" s="4">
        <f>B5/$G5</f>
        <v>0.0789473684210526</v>
      </c>
      <c r="C14" s="4">
        <f>C5/$G5</f>
        <v>0.131578947368421</v>
      </c>
      <c r="D14" s="4">
        <f>D5/$G5</f>
        <v>0.131578947368421</v>
      </c>
      <c r="E14" s="4">
        <f>E5/$G5</f>
        <v>0.552631578947368</v>
      </c>
      <c r="F14" s="4">
        <f>F5/$G5</f>
        <v>0.105263157894737</v>
      </c>
      <c r="G14" s="4">
        <f>SUM(B14:F14)</f>
        <v>1</v>
      </c>
      <c r="H14" s="3"/>
    </row>
    <row r="15" spans="1:8">
      <c r="A15" s="3" t="s">
        <v>18</v>
      </c>
      <c r="B15" s="4">
        <f>B6/$G6</f>
        <v>0.0769230769230769</v>
      </c>
      <c r="C15" s="4">
        <f>C6/$G6</f>
        <v>0</v>
      </c>
      <c r="D15" s="4">
        <f>D6/$G6</f>
        <v>0.192307692307692</v>
      </c>
      <c r="E15" s="4">
        <f>E6/$G6</f>
        <v>0.307692307692308</v>
      </c>
      <c r="F15" s="4">
        <f>F6/$G6</f>
        <v>0.423076923076923</v>
      </c>
      <c r="G15" s="4">
        <f>SUM(B15:F15)</f>
        <v>1</v>
      </c>
      <c r="H15" s="3"/>
    </row>
    <row r="16" spans="1:8">
      <c r="A16" s="3" t="s">
        <v>37</v>
      </c>
      <c r="B16" s="4">
        <f>B7/$G7</f>
        <v>0</v>
      </c>
      <c r="C16" s="4">
        <f>C7/$G7</f>
        <v>0.166666666666667</v>
      </c>
      <c r="D16" s="4">
        <f>D7/$G7</f>
        <v>0.333333333333333</v>
      </c>
      <c r="E16" s="4">
        <f>E7/$G7</f>
        <v>0.166666666666667</v>
      </c>
      <c r="F16" s="4">
        <f>F7/$G7</f>
        <v>0.333333333333333</v>
      </c>
      <c r="G16" s="4">
        <f>SUM(B16:F16)</f>
        <v>1</v>
      </c>
      <c r="H16" s="3"/>
    </row>
    <row r="19" spans="1:2">
      <c r="A19" s="7" t="s">
        <v>304</v>
      </c>
      <c r="B19" s="8" t="s">
        <v>305</v>
      </c>
    </row>
  </sheetData>
  <mergeCells count="2">
    <mergeCell ref="A1:H1"/>
    <mergeCell ref="B19:H19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3.5" outlineLevelCol="7"/>
  <cols>
    <col min="1" max="1" width="18" customWidth="1"/>
    <col min="2" max="6" width="14" customWidth="1"/>
    <col min="7" max="7" width="10" customWidth="1"/>
    <col min="8" max="8" width="12" customWidth="1"/>
    <col min="10" max="10" width="3" customWidth="1"/>
  </cols>
  <sheetData>
    <row r="1" ht="20.25" spans="1:8">
      <c r="A1" s="1" t="s">
        <v>306</v>
      </c>
    </row>
    <row r="3" spans="1:8">
      <c r="A3" s="2" t="s">
        <v>2</v>
      </c>
      <c r="B3" s="2" t="s">
        <v>87</v>
      </c>
      <c r="C3" s="2" t="s">
        <v>96</v>
      </c>
      <c r="D3" s="2" t="s">
        <v>39</v>
      </c>
      <c r="E3" s="2" t="s">
        <v>32</v>
      </c>
      <c r="F3" s="2" t="s">
        <v>21</v>
      </c>
      <c r="G3" s="2" t="s">
        <v>301</v>
      </c>
      <c r="H3" s="2" t="s">
        <v>302</v>
      </c>
    </row>
    <row r="4" spans="1:8">
      <c r="A4" s="3" t="s">
        <v>19</v>
      </c>
      <c r="B4" s="3">
        <f>COUNTIFS(清洗后的数据!$C$2:$C$107,$A4,清洗后的数据!$E$2:$E$107,B$3)</f>
        <v>1</v>
      </c>
      <c r="C4" s="3">
        <f>COUNTIFS(清洗后的数据!$C$2:$C$107,$A4,清洗后的数据!$E$2:$E$107,C$3)</f>
        <v>3</v>
      </c>
      <c r="D4" s="3">
        <f>COUNTIFS(清洗后的数据!$C$2:$C$107,$A4,清洗后的数据!$E$2:$E$107,D$3)</f>
        <v>5</v>
      </c>
      <c r="E4" s="3">
        <f>COUNTIFS(清洗后的数据!$C$2:$C$107,$A4,清洗后的数据!$E$2:$E$107,E$3)</f>
        <v>11</v>
      </c>
      <c r="F4" s="3">
        <f>COUNTIFS(清洗后的数据!$C$2:$C$107,$A4,清洗后的数据!$E$2:$E$107,F$3)</f>
        <v>7</v>
      </c>
      <c r="G4" s="3">
        <f>SUM(B4:F4)</f>
        <v>27</v>
      </c>
      <c r="H4" s="4">
        <f>G4/SUM($G$4:$G$8)</f>
        <v>0.254716981132075</v>
      </c>
    </row>
    <row r="5" spans="1:8">
      <c r="A5" s="3" t="s">
        <v>38</v>
      </c>
      <c r="B5" s="3">
        <f>COUNTIFS(清洗后的数据!$C$2:$C$107,$A5,清洗后的数据!$E$2:$E$107,B$3)</f>
        <v>3</v>
      </c>
      <c r="C5" s="3">
        <f>COUNTIFS(清洗后的数据!$C$2:$C$107,$A5,清洗后的数据!$E$2:$E$107,C$3)</f>
        <v>3</v>
      </c>
      <c r="D5" s="3">
        <f>COUNTIFS(清洗后的数据!$C$2:$C$107,$A5,清洗后的数据!$E$2:$E$107,D$3)</f>
        <v>3</v>
      </c>
      <c r="E5" s="3">
        <f>COUNTIFS(清洗后的数据!$C$2:$C$107,$A5,清洗后的数据!$E$2:$E$107,E$3)</f>
        <v>5</v>
      </c>
      <c r="F5" s="3">
        <f>COUNTIFS(清洗后的数据!$C$2:$C$107,$A5,清洗后的数据!$E$2:$E$107,F$3)</f>
        <v>12</v>
      </c>
      <c r="G5" s="3">
        <f>SUM(B5:F5)</f>
        <v>26</v>
      </c>
      <c r="H5" s="4">
        <f>G5/SUM($G$4:$G$8)</f>
        <v>0.245283018867925</v>
      </c>
    </row>
    <row r="6" spans="1:8">
      <c r="A6" s="3" t="s">
        <v>79</v>
      </c>
      <c r="B6" s="3">
        <f>COUNTIFS(清洗后的数据!$C$2:$C$107,$A6,清洗后的数据!$E$2:$E$107,B$3)</f>
        <v>2</v>
      </c>
      <c r="C6" s="3">
        <f>COUNTIFS(清洗后的数据!$C$2:$C$107,$A6,清洗后的数据!$E$2:$E$107,C$3)</f>
        <v>0</v>
      </c>
      <c r="D6" s="3">
        <f>COUNTIFS(清洗后的数据!$C$2:$C$107,$A6,清洗后的数据!$E$2:$E$107,D$3)</f>
        <v>7</v>
      </c>
      <c r="E6" s="3">
        <f>COUNTIFS(清洗后的数据!$C$2:$C$107,$A6,清洗后的数据!$E$2:$E$107,E$3)</f>
        <v>10</v>
      </c>
      <c r="F6" s="3">
        <f>COUNTIFS(清洗后的数据!$C$2:$C$107,$A6,清洗后的数据!$E$2:$E$107,F$3)</f>
        <v>5</v>
      </c>
      <c r="G6" s="3">
        <f>SUM(B6:F6)</f>
        <v>24</v>
      </c>
      <c r="H6" s="4">
        <f>G6/SUM($G$4:$G$8)</f>
        <v>0.226415094339623</v>
      </c>
    </row>
    <row r="7" spans="1:8">
      <c r="A7" s="3" t="s">
        <v>52</v>
      </c>
      <c r="B7" s="3">
        <f>COUNTIFS(清洗后的数据!$C$2:$C$107,$A7,清洗后的数据!$E$2:$E$107,B$3)</f>
        <v>1</v>
      </c>
      <c r="C7" s="3">
        <f>COUNTIFS(清洗后的数据!$C$2:$C$107,$A7,清洗后的数据!$E$2:$E$107,C$3)</f>
        <v>2</v>
      </c>
      <c r="D7" s="3">
        <f>COUNTIFS(清洗后的数据!$C$2:$C$107,$A7,清洗后的数据!$E$2:$E$107,D$3)</f>
        <v>3</v>
      </c>
      <c r="E7" s="3">
        <f>COUNTIFS(清洗后的数据!$C$2:$C$107,$A7,清洗后的数据!$E$2:$E$107,E$3)</f>
        <v>11</v>
      </c>
      <c r="F7" s="3">
        <f>COUNTIFS(清洗后的数据!$C$2:$C$107,$A7,清洗后的数据!$E$2:$E$107,F$3)</f>
        <v>0</v>
      </c>
      <c r="G7" s="3">
        <f>SUM(B7:F7)</f>
        <v>17</v>
      </c>
      <c r="H7" s="4">
        <f>G7/SUM($G$4:$G$8)</f>
        <v>0.160377358490566</v>
      </c>
    </row>
    <row r="8" spans="1:8">
      <c r="A8" s="3" t="s">
        <v>57</v>
      </c>
      <c r="B8" s="3">
        <f>COUNTIFS(清洗后的数据!$C$2:$C$107,$A8,清洗后的数据!$E$2:$E$107,B$3)</f>
        <v>1</v>
      </c>
      <c r="C8" s="3">
        <f>COUNTIFS(清洗后的数据!$C$2:$C$107,$A8,清洗后的数据!$E$2:$E$107,C$3)</f>
        <v>3</v>
      </c>
      <c r="D8" s="3">
        <f>COUNTIFS(清洗后的数据!$C$2:$C$107,$A8,清洗后的数据!$E$2:$E$107,D$3)</f>
        <v>5</v>
      </c>
      <c r="E8" s="3">
        <f>COUNTIFS(清洗后的数据!$C$2:$C$107,$A8,清洗后的数据!$E$2:$E$107,E$3)</f>
        <v>2</v>
      </c>
      <c r="F8" s="3">
        <f>COUNTIFS(清洗后的数据!$C$2:$C$107,$A8,清洗后的数据!$E$2:$E$107,F$3)</f>
        <v>1</v>
      </c>
      <c r="G8" s="3">
        <f>SUM(B8:F8)</f>
        <v>12</v>
      </c>
      <c r="H8" s="4">
        <f>G8/SUM($G$4:$G$8)</f>
        <v>0.113207547169811</v>
      </c>
    </row>
    <row r="9" spans="1:8">
      <c r="A9" s="5" t="s">
        <v>301</v>
      </c>
      <c r="B9" s="5">
        <f t="shared" ref="B9:G9" si="0">SUM(B4:B8)</f>
        <v>8</v>
      </c>
      <c r="C9" s="5">
        <f t="shared" si="0"/>
        <v>11</v>
      </c>
      <c r="D9" s="5">
        <f t="shared" si="0"/>
        <v>23</v>
      </c>
      <c r="E9" s="5">
        <f t="shared" si="0"/>
        <v>39</v>
      </c>
      <c r="F9" s="5">
        <f t="shared" si="0"/>
        <v>25</v>
      </c>
      <c r="G9" s="5">
        <f t="shared" si="0"/>
        <v>106</v>
      </c>
      <c r="H9" s="6">
        <f>1</f>
        <v>1</v>
      </c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2" t="s">
        <v>307</v>
      </c>
      <c r="B13" s="2" t="s">
        <v>87</v>
      </c>
      <c r="C13" s="2" t="s">
        <v>96</v>
      </c>
      <c r="D13" s="2" t="s">
        <v>39</v>
      </c>
      <c r="E13" s="2" t="s">
        <v>32</v>
      </c>
      <c r="F13" s="2" t="s">
        <v>21</v>
      </c>
      <c r="G13" s="2" t="s">
        <v>301</v>
      </c>
      <c r="H13" s="3"/>
    </row>
    <row r="14" spans="1:8">
      <c r="A14" s="3" t="s">
        <v>19</v>
      </c>
      <c r="B14" s="4">
        <f>B4/$G4</f>
        <v>0.037037037037037</v>
      </c>
      <c r="C14" s="4">
        <f>C4/$G4</f>
        <v>0.111111111111111</v>
      </c>
      <c r="D14" s="4">
        <f>D4/$G4</f>
        <v>0.185185185185185</v>
      </c>
      <c r="E14" s="4">
        <f>E4/$G4</f>
        <v>0.407407407407407</v>
      </c>
      <c r="F14" s="4">
        <f>F4/$G4</f>
        <v>0.259259259259259</v>
      </c>
      <c r="G14" s="4">
        <f>SUM(B14:F14)</f>
        <v>1</v>
      </c>
      <c r="H14" s="3"/>
    </row>
    <row r="15" spans="1:8">
      <c r="A15" s="3" t="s">
        <v>38</v>
      </c>
      <c r="B15" s="4">
        <f>B5/$G5</f>
        <v>0.115384615384615</v>
      </c>
      <c r="C15" s="4">
        <f>C5/$G5</f>
        <v>0.115384615384615</v>
      </c>
      <c r="D15" s="4">
        <f>D5/$G5</f>
        <v>0.115384615384615</v>
      </c>
      <c r="E15" s="4">
        <f>E5/$G5</f>
        <v>0.192307692307692</v>
      </c>
      <c r="F15" s="4">
        <f>F5/$G5</f>
        <v>0.461538461538462</v>
      </c>
      <c r="G15" s="4">
        <f>SUM(B15:F15)</f>
        <v>1</v>
      </c>
      <c r="H15" s="3"/>
    </row>
    <row r="16" spans="1:8">
      <c r="A16" s="3" t="s">
        <v>79</v>
      </c>
      <c r="B16" s="4">
        <f>B6/$G6</f>
        <v>0.0833333333333333</v>
      </c>
      <c r="C16" s="4">
        <f>C6/$G6</f>
        <v>0</v>
      </c>
      <c r="D16" s="4">
        <f>D6/$G6</f>
        <v>0.291666666666667</v>
      </c>
      <c r="E16" s="4">
        <f>E6/$G6</f>
        <v>0.416666666666667</v>
      </c>
      <c r="F16" s="4">
        <f>F6/$G6</f>
        <v>0.208333333333333</v>
      </c>
      <c r="G16" s="4">
        <f>SUM(B16:F16)</f>
        <v>1</v>
      </c>
      <c r="H16" s="3"/>
    </row>
    <row r="17" spans="1:8">
      <c r="A17" s="3" t="s">
        <v>52</v>
      </c>
      <c r="B17" s="4">
        <f>B7/$G7</f>
        <v>0.0588235294117647</v>
      </c>
      <c r="C17" s="4">
        <f>C7/$G7</f>
        <v>0.117647058823529</v>
      </c>
      <c r="D17" s="4">
        <f>D7/$G7</f>
        <v>0.176470588235294</v>
      </c>
      <c r="E17" s="4">
        <f>E7/$G7</f>
        <v>0.647058823529412</v>
      </c>
      <c r="F17" s="4">
        <f>F7/$G7</f>
        <v>0</v>
      </c>
      <c r="G17" s="4">
        <f>SUM(B17:F17)</f>
        <v>1</v>
      </c>
      <c r="H17" s="3"/>
    </row>
    <row r="18" spans="1:8">
      <c r="A18" s="3" t="s">
        <v>57</v>
      </c>
      <c r="B18" s="4">
        <f>B8/$G8</f>
        <v>0.0833333333333333</v>
      </c>
      <c r="C18" s="4">
        <f>C8/$G8</f>
        <v>0.25</v>
      </c>
      <c r="D18" s="4">
        <f>D8/$G8</f>
        <v>0.416666666666667</v>
      </c>
      <c r="E18" s="4">
        <f>E8/$G8</f>
        <v>0.166666666666667</v>
      </c>
      <c r="F18" s="4">
        <f>F8/$G8</f>
        <v>0.0833333333333333</v>
      </c>
      <c r="G18" s="4">
        <f>SUM(B18:F18)</f>
        <v>1</v>
      </c>
      <c r="H18" s="3"/>
    </row>
    <row r="21" spans="1:8">
      <c r="A21" s="7" t="s">
        <v>304</v>
      </c>
      <c r="B21" s="8" t="s">
        <v>305</v>
      </c>
    </row>
  </sheetData>
  <mergeCells count="2">
    <mergeCell ref="A1:H1"/>
    <mergeCell ref="B21:H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清洗后的数据</vt:lpstr>
      <vt:lpstr>数据清洗说明</vt:lpstr>
      <vt:lpstr>清洗汇总</vt:lpstr>
      <vt:lpstr>年级_AI使用频率</vt:lpstr>
      <vt:lpstr>专业_AI使用频率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唐大雨</cp:lastModifiedBy>
  <dcterms:created xsi:type="dcterms:W3CDTF">2026-09-18T11:15:00Z</dcterms:created>
  <dcterms:modified xsi:type="dcterms:W3CDTF">2026-09-18T11:55:23Z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DB59ACE219BF4669985A62648B35AD6A_12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